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ómo usarlo" sheetId="1" state="visible" r:id="rId1"/>
    <sheet xmlns:r="http://schemas.openxmlformats.org/officeDocument/2006/relationships" name="Reglas automáticas" sheetId="2" state="visible" r:id="rId2"/>
    <sheet xmlns:r="http://schemas.openxmlformats.org/officeDocument/2006/relationships" name="Informe mensua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 &quot;€&quot;"/>
    <numFmt numFmtId="165" formatCode="#,##0 &quot;€&quot;"/>
    <numFmt numFmtId="166" formatCode="dd/mm/yyyy"/>
    <numFmt numFmtId="167" formatCode="mmmm yyyy"/>
    <numFmt numFmtId="168" formatCode="0.00&quot; €/€&quot;"/>
    <numFmt numFmtId="169" formatCode="0.0%"/>
    <numFmt numFmtId="170" formatCode="+0%;-0%;0%"/>
  </numFmts>
  <fonts count="11">
    <font>
      <name val="Calibri"/>
      <family val="2"/>
      <color theme="1"/>
      <sz val="11"/>
      <scheme val="minor"/>
    </font>
    <font>
      <name val="Arial"/>
      <b val="1"/>
      <color rgb="008A5E00"/>
      <sz val="8"/>
    </font>
    <font>
      <name val="Arial"/>
      <b val="1"/>
      <color rgb="001F1F1F"/>
      <sz val="16"/>
    </font>
    <font>
      <name val="Arial"/>
      <color rgb="006B6B6B"/>
      <sz val="10"/>
    </font>
    <font>
      <name val="Arial"/>
      <b val="1"/>
      <sz val="11"/>
    </font>
    <font>
      <name val="Arial"/>
      <sz val="10"/>
    </font>
    <font>
      <name val="Arial"/>
      <b val="1"/>
      <color rgb="008A5E00"/>
      <sz val="9"/>
    </font>
    <font>
      <name val="Arial"/>
      <color rgb="006B6B6B"/>
      <sz val="8"/>
    </font>
    <font>
      <name val="Arial"/>
      <b val="1"/>
      <color rgb="001F1F1F"/>
      <sz val="9"/>
    </font>
    <font>
      <name val="Arial"/>
      <color rgb="001F1F1F"/>
      <sz val="9"/>
    </font>
    <font>
      <name val="Arial"/>
      <b val="1"/>
      <color rgb="00FFFFFF"/>
      <sz val="9"/>
    </font>
  </fonts>
  <fills count="6">
    <fill>
      <patternFill/>
    </fill>
    <fill>
      <patternFill patternType="gray125"/>
    </fill>
    <fill>
      <patternFill patternType="solid">
        <fgColor rgb="00FFF8E6"/>
      </patternFill>
    </fill>
    <fill>
      <patternFill patternType="solid">
        <fgColor rgb="001F1F1F"/>
      </patternFill>
    </fill>
    <fill>
      <patternFill patternType="solid">
        <fgColor rgb="00FBEFD3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top style="thick">
        <color rgb="00E3A72F"/>
      </top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vertical="top" wrapText="1"/>
    </xf>
    <xf numFmtId="0" fontId="0" fillId="2" borderId="0" pivotButton="0" quotePrefix="0" xfId="0"/>
    <xf numFmtId="0" fontId="6" fillId="0" borderId="0" pivotButton="0" quotePrefix="0" xfId="0"/>
    <xf numFmtId="0" fontId="7" fillId="0" borderId="0" applyAlignment="1" pivotButton="0" quotePrefix="0" xfId="0">
      <alignment wrapText="1"/>
    </xf>
    <xf numFmtId="0" fontId="8" fillId="0" borderId="2" applyAlignment="1" pivotButton="0" quotePrefix="0" xfId="0">
      <alignment vertical="top" wrapText="1"/>
    </xf>
    <xf numFmtId="164" fontId="9" fillId="2" borderId="2" applyAlignment="1" pivotButton="0" quotePrefix="0" xfId="0">
      <alignment vertical="top" wrapText="1"/>
    </xf>
    <xf numFmtId="165" fontId="9" fillId="2" borderId="2" applyAlignment="1" pivotButton="0" quotePrefix="0" xfId="0">
      <alignment vertical="top" wrapText="1"/>
    </xf>
    <xf numFmtId="0" fontId="10" fillId="3" borderId="2" applyAlignment="1" pivotButton="0" quotePrefix="0" xfId="0">
      <alignment vertical="center" wrapText="1"/>
    </xf>
    <xf numFmtId="0" fontId="9" fillId="0" borderId="2" applyAlignment="1" pivotButton="0" quotePrefix="0" xfId="0">
      <alignment vertical="top" wrapText="1"/>
    </xf>
    <xf numFmtId="0" fontId="9" fillId="4" borderId="2" applyAlignment="1" pivotButton="0" quotePrefix="0" xfId="0">
      <alignment vertical="top" wrapText="1"/>
    </xf>
    <xf numFmtId="0" fontId="9" fillId="2" borderId="2" applyAlignment="1" pivotButton="0" quotePrefix="0" xfId="0">
      <alignment horizontal="center" vertical="top" wrapText="1"/>
    </xf>
    <xf numFmtId="166" fontId="9" fillId="2" borderId="2" applyAlignment="1" pivotButton="0" quotePrefix="0" xfId="0">
      <alignment horizontal="center" vertical="top" wrapText="1"/>
    </xf>
    <xf numFmtId="0" fontId="0" fillId="0" borderId="5" pivotButton="0" quotePrefix="0" xfId="0"/>
    <xf numFmtId="0" fontId="0" fillId="0" borderId="6" pivotButton="0" quotePrefix="0" xfId="0"/>
    <xf numFmtId="167" fontId="9" fillId="2" borderId="2" applyAlignment="1" pivotButton="0" quotePrefix="0" xfId="0">
      <alignment vertical="top" wrapText="1"/>
    </xf>
    <xf numFmtId="0" fontId="9" fillId="2" borderId="2" applyAlignment="1" pivotButton="0" quotePrefix="0" xfId="0">
      <alignment vertical="top" wrapText="1"/>
    </xf>
    <xf numFmtId="165" fontId="9" fillId="2" borderId="2" applyAlignment="1" pivotButton="0" quotePrefix="0" xfId="0">
      <alignment horizontal="center" vertical="top" wrapText="1"/>
    </xf>
    <xf numFmtId="3" fontId="9" fillId="2" borderId="2" applyAlignment="1" pivotButton="0" quotePrefix="0" xfId="0">
      <alignment horizontal="center" vertical="top" wrapText="1"/>
    </xf>
    <xf numFmtId="164" fontId="9" fillId="0" borderId="2" applyAlignment="1" pivotButton="0" quotePrefix="0" xfId="0">
      <alignment horizontal="center" vertical="top" wrapText="1"/>
    </xf>
    <xf numFmtId="168" fontId="9" fillId="0" borderId="2" applyAlignment="1" pivotButton="0" quotePrefix="0" xfId="0">
      <alignment horizontal="center" vertical="top" wrapText="1"/>
    </xf>
    <xf numFmtId="169" fontId="9" fillId="0" borderId="2" applyAlignment="1" pivotButton="0" quotePrefix="0" xfId="0">
      <alignment horizontal="center" vertical="top" wrapText="1"/>
    </xf>
    <xf numFmtId="164" fontId="9" fillId="2" borderId="2" applyAlignment="1" pivotButton="0" quotePrefix="0" xfId="0">
      <alignment horizontal="center" vertical="top" wrapText="1"/>
    </xf>
    <xf numFmtId="170" fontId="9" fillId="0" borderId="2" applyAlignment="1" pivotButton="0" quotePrefix="0" xfId="0">
      <alignment horizontal="center" vertical="top" wrapText="1"/>
    </xf>
    <xf numFmtId="0" fontId="8" fillId="5" borderId="2" applyAlignment="1" pivotButton="0" quotePrefix="0" xfId="0">
      <alignment vertical="top" wrapText="1"/>
    </xf>
    <xf numFmtId="0" fontId="9" fillId="5" borderId="2" applyAlignment="1" pivotButton="0" quotePrefix="0" xfId="0">
      <alignment vertical="top" wrapText="1"/>
    </xf>
    <xf numFmtId="165" fontId="8" fillId="5" borderId="2" applyAlignment="1" pivotButton="0" quotePrefix="0" xfId="0">
      <alignment horizontal="center" vertical="top" wrapText="1"/>
    </xf>
    <xf numFmtId="3" fontId="8" fillId="5" borderId="2" applyAlignment="1" pivotButton="0" quotePrefix="0" xfId="0">
      <alignment horizontal="center" vertical="top" wrapText="1"/>
    </xf>
    <xf numFmtId="164" fontId="8" fillId="5" borderId="2" applyAlignment="1" pivotButton="0" quotePrefix="0" xfId="0">
      <alignment horizontal="center" vertical="top" wrapText="1"/>
    </xf>
    <xf numFmtId="168" fontId="8" fillId="5" borderId="2" applyAlignment="1" pivotButton="0" quotePrefix="0" xfId="0">
      <alignment horizontal="center" vertical="top" wrapText="1"/>
    </xf>
    <xf numFmtId="169" fontId="8" fillId="5" borderId="2" applyAlignment="1" pivotButton="0" quotePrefix="0" xfId="0">
      <alignment horizontal="center" vertical="top" wrapText="1"/>
    </xf>
  </cellXfs>
  <cellStyles count="1">
    <cellStyle name="Normal" xfId="0" builtinId="0" hidden="0"/>
  </cellStyles>
  <dxfs count="2">
    <dxf>
      <fill>
        <patternFill patternType="solid">
          <fgColor rgb="00E5F4E4"/>
        </patternFill>
      </fill>
    </dxf>
    <dxf>
      <fill>
        <patternFill patternType="solid">
          <fgColor rgb="00FBEB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10" customWidth="1" min="2" max="2"/>
  </cols>
  <sheetData>
    <row r="1">
      <c r="A1" s="1" t="inlineStr">
        <is>
          <t>CAPÍTULO 6 · MATERIAL PRÁCTICO</t>
        </is>
      </c>
      <c r="B1" s="2" t="n"/>
    </row>
    <row r="2" ht="24" customHeight="1">
      <c r="A2" s="3" t="inlineStr">
        <is>
          <t>Reglas automáticas e informe mensual de campañas</t>
        </is>
      </c>
    </row>
    <row r="3">
      <c r="A3" s="4" t="inlineStr">
        <is>
          <t>Material complementario de «Vende más y trabaja menos»</t>
        </is>
      </c>
    </row>
    <row r="6">
      <c r="A6" s="5" t="inlineStr">
        <is>
          <t>1. Reglas automáticas</t>
        </is>
      </c>
    </row>
    <row r="7" ht="30" customHeight="1">
      <c r="B7" s="6" t="inlineStr">
        <is>
          <t>Escribe tu coste por conversión objetivo y tu presupuesto mensual. La hoja calcula el umbral de cada una de las cinco reglas para que las configures en Google Ads, Meta Ads o la plataforma que uses.</t>
        </is>
      </c>
    </row>
    <row r="8" ht="30" customHeight="1">
      <c r="B8" s="6" t="inlineStr">
        <is>
          <t>Antes de nada, comprueba que tu seguimiento de conversiones registra bien cada contacto o venta: haz tú mismo una conversión de prueba. Sin él, la puja automática trabaja a ciegas.</t>
        </is>
      </c>
    </row>
    <row r="9" ht="15" customHeight="1">
      <c r="B9" s="6" t="inlineStr">
        <is>
          <t>Empieza por dos reglas: el freno de gasto y el tope mensual.</t>
        </is>
      </c>
    </row>
    <row r="11">
      <c r="A11" s="5" t="inlineStr">
        <is>
          <t>2. Informe mensual</t>
        </is>
      </c>
    </row>
    <row r="12" ht="45" customHeight="1">
      <c r="B12" s="6" t="inlineStr">
        <is>
          <t>Una fila por campaña. Escribe la inversión, los clics, las conversiones y los ingresos atribuidos del mes. La hoja calcula el coste por clic, el coste por conversión, el retorno de la inversión publicitaria y la tasa de conversión, y te dice si cada campaña está por encima o por debajo de tu objetivo.</t>
        </is>
      </c>
    </row>
    <row r="13" ht="30" customHeight="1">
      <c r="B13" s="6" t="inlineStr">
        <is>
          <t>Copia la hoja cada mes y compara con el anterior. Coste por conversión y retorno de la inversión son las dos métricas que deciden.</t>
        </is>
      </c>
    </row>
    <row r="15">
      <c r="A15" s="7" t="n"/>
      <c r="B15" s="8" t="inlineStr">
        <is>
          <t>Las celdas en amarillo claro son para rellenar. Las demás se calculan solas.</t>
        </is>
      </c>
    </row>
    <row r="17" ht="26" customHeight="1">
      <c r="B17" s="9" t="inlineStr">
        <is>
          <t>Material complementario del libro «Vende más y trabaja menos», de Jacob Ruiz. © 2026 Jacob Ruiz. Uso libre en tu empresa; no se permite su venta ni su distribución como material propio.</t>
        </is>
      </c>
    </row>
  </sheetData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46" customWidth="1" min="2" max="2"/>
    <col width="26" customWidth="1" min="3" max="3"/>
    <col width="34" customWidth="1" min="4" max="4"/>
    <col width="16" customWidth="1" min="5" max="5"/>
    <col width="13" customWidth="1" min="6" max="6"/>
    <col width="13" customWidth="1" min="7" max="7"/>
  </cols>
  <sheetData>
    <row r="1">
      <c r="A1" s="1" t="inlineStr">
        <is>
          <t>CAPÍTULO 6 · MATERIAL PRÁCTICO</t>
        </is>
      </c>
      <c r="B1" s="2" t="n"/>
      <c r="C1" s="2" t="n"/>
      <c r="D1" s="2" t="n"/>
      <c r="E1" s="2" t="n"/>
      <c r="F1" s="2" t="n"/>
      <c r="G1" s="2" t="n"/>
    </row>
    <row r="2" ht="24" customHeight="1">
      <c r="A2" s="3" t="inlineStr">
        <is>
          <t>Reglas automáticas: tu piloto de guardia</t>
        </is>
      </c>
    </row>
    <row r="3">
      <c r="A3" s="4" t="inlineStr">
        <is>
          <t>Adapta las cifras a tu coste por conversión objetivo</t>
        </is>
      </c>
    </row>
    <row r="5">
      <c r="A5" s="10" t="inlineStr">
        <is>
          <t>Coste por conversión objetivo (€)</t>
        </is>
      </c>
      <c r="C5" s="11" t="n"/>
    </row>
    <row r="6">
      <c r="A6" s="10" t="inlineStr">
        <is>
          <t>Presupuesto mensual (€)</t>
        </is>
      </c>
      <c r="C6" s="12" t="n"/>
    </row>
    <row r="8" ht="30" customHeight="1">
      <c r="A8" s="13" t="inlineStr">
        <is>
          <t>Regla</t>
        </is>
      </c>
      <c r="B8" s="13" t="inlineStr">
        <is>
          <t>Condición</t>
        </is>
      </c>
      <c r="C8" s="13" t="inlineStr">
        <is>
          <t>Umbral para configurar</t>
        </is>
      </c>
      <c r="D8" s="13" t="inlineStr">
        <is>
          <t>Acción</t>
        </is>
      </c>
      <c r="E8" s="13" t="inlineStr">
        <is>
          <t>Plataforma</t>
        </is>
      </c>
      <c r="F8" s="13" t="inlineStr">
        <is>
          <t>¿Configurada?</t>
        </is>
      </c>
      <c r="G8" s="13" t="inlineStr">
        <is>
          <t>Fecha</t>
        </is>
      </c>
    </row>
    <row r="9" ht="32" customHeight="1">
      <c r="A9" s="10" t="inlineStr">
        <is>
          <t>Freno de gasto</t>
        </is>
      </c>
      <c r="B9" s="14" t="inlineStr">
        <is>
          <t>Un anuncio gasta el doble de tu coste por conversión objetivo sin conseguir ninguna</t>
        </is>
      </c>
      <c r="C9" s="15">
        <f>IF($C$5="","",FIXED(2*$C$5,2)&amp;" € gastados sin conversiones")</f>
        <v/>
      </c>
      <c r="D9" s="14" t="inlineStr">
        <is>
          <t>Pausar el anuncio y avisarte</t>
        </is>
      </c>
      <c r="E9" s="16" t="n"/>
      <c r="F9" s="16" t="n"/>
      <c r="G9" s="17" t="n"/>
    </row>
    <row r="10" ht="32" customHeight="1">
      <c r="A10" s="10" t="inlineStr">
        <is>
          <t>Impulso al ganador</t>
        </is>
      </c>
      <c r="B10" s="14" t="inlineStr">
        <is>
          <t>Un anuncio o palabra clave convierte por debajo de tu coste objetivo durante una semana</t>
        </is>
      </c>
      <c r="C10" s="15">
        <f>IF($C$5="","","Coste por conversión menor que "&amp;FIXED($C$5,2)&amp;" € durante 7 días")</f>
        <v/>
      </c>
      <c r="D10" s="14" t="inlineStr">
        <is>
          <t>Subir su presupuesto o su puja de forma moderada</t>
        </is>
      </c>
      <c r="E10" s="16" t="n"/>
      <c r="F10" s="16" t="n"/>
      <c r="G10" s="17" t="n"/>
    </row>
    <row r="11" ht="32" customHeight="1">
      <c r="A11" s="10" t="inlineStr">
        <is>
          <t>Control del coste</t>
        </is>
      </c>
      <c r="B11" s="14" t="inlineStr">
        <is>
          <t>El coste por conversión de la campaña supera tu objetivo varios días seguidos</t>
        </is>
      </c>
      <c r="C11" s="15">
        <f>IF($C$5="","","Coste por conversión mayor que "&amp;FIXED($C$5,2)&amp;" € tres días seguidos")</f>
        <v/>
      </c>
      <c r="D11" s="14" t="inlineStr">
        <is>
          <t>Bajar pujas y enviarte un aviso</t>
        </is>
      </c>
      <c r="E11" s="16" t="n"/>
      <c r="F11" s="16" t="n"/>
      <c r="G11" s="17" t="n"/>
    </row>
    <row r="12" ht="32" customHeight="1">
      <c r="A12" s="10" t="inlineStr">
        <is>
          <t>Horario</t>
        </is>
      </c>
      <c r="B12" s="14" t="inlineStr">
        <is>
          <t>Tus datos muestran franjas horarias sin conversiones</t>
        </is>
      </c>
      <c r="C12" s="15" t="inlineStr">
        <is>
          <t>Franjas sin conversiones en las últimas cuatro semanas</t>
        </is>
      </c>
      <c r="D12" s="14" t="inlineStr">
        <is>
          <t>Reducir o pausar los anuncios en esas franjas</t>
        </is>
      </c>
      <c r="E12" s="16" t="n"/>
      <c r="F12" s="16" t="n"/>
      <c r="G12" s="17" t="n"/>
    </row>
    <row r="13" ht="32" customHeight="1">
      <c r="A13" s="10" t="inlineStr">
        <is>
          <t>Tope mensual</t>
        </is>
      </c>
      <c r="B13" s="14" t="inlineStr">
        <is>
          <t>El gasto del mes alcanza el presupuesto previsto</t>
        </is>
      </c>
      <c r="C13" s="15">
        <f>IF($C$6="","",FIXED($C$6,0)&amp;" € gastados en el mes")</f>
        <v/>
      </c>
      <c r="D13" s="14" t="inlineStr">
        <is>
          <t>Pausar la campaña</t>
        </is>
      </c>
      <c r="E13" s="16" t="n"/>
      <c r="F13" s="16" t="n"/>
      <c r="G13" s="17" t="n"/>
    </row>
    <row r="16" ht="30" customHeight="1">
      <c r="A16" s="13" t="inlineStr">
        <is>
          <t>Cuándo intervenir a mano</t>
        </is>
      </c>
      <c r="B16" s="18" t="n"/>
      <c r="C16" s="19" t="n"/>
      <c r="D16" s="13" t="inlineStr">
        <is>
          <t>¿Aplica este mes?</t>
        </is>
      </c>
    </row>
    <row r="17">
      <c r="A17" s="14" t="inlineStr">
        <is>
          <t>Cuando lanzas una oferta o un producto nuevo.</t>
        </is>
      </c>
      <c r="B17" s="18" t="n"/>
      <c r="C17" s="19" t="n"/>
      <c r="D17" s="16" t="n"/>
    </row>
    <row r="18">
      <c r="A18" s="14" t="inlineStr">
        <is>
          <t>En temporadas especiales, festivos o cambios bruscos de demanda.</t>
        </is>
      </c>
      <c r="B18" s="18" t="n"/>
      <c r="C18" s="19" t="n"/>
      <c r="D18" s="16" t="n"/>
    </row>
    <row r="19">
      <c r="A19" s="14" t="inlineStr">
        <is>
          <t>Cuando cambias el precio, el margen o el objetivo de la campaña.</t>
        </is>
      </c>
      <c r="B19" s="18" t="n"/>
      <c r="C19" s="19" t="n"/>
      <c r="D19" s="16" t="n"/>
    </row>
    <row r="20">
      <c r="A20" s="14" t="inlineStr">
        <is>
          <t>Cuando los resultados cambian mucho de un día para otro sin motivo aparente.</t>
        </is>
      </c>
      <c r="B20" s="18" t="n"/>
      <c r="C20" s="19" t="n"/>
      <c r="D20" s="16" t="n"/>
    </row>
  </sheetData>
  <mergeCells count="5">
    <mergeCell ref="A19:C19"/>
    <mergeCell ref="A17:C17"/>
    <mergeCell ref="A18:C18"/>
    <mergeCell ref="A20:C20"/>
    <mergeCell ref="A16:C16"/>
  </mergeCells>
  <dataValidations count="3">
    <dataValidation sqref="E9:E13" showDropDown="0" showInputMessage="0" showErrorMessage="1" allowBlank="1" errorTitle="Valor no válido" error="Elige una opción de la lista." type="list">
      <formula1>"Google Ads,Meta Ads,LinkedIn Ads,TikTok Ads,Otra"</formula1>
    </dataValidation>
    <dataValidation sqref="F9:F13" showDropDown="0" showInputMessage="0" showErrorMessage="1" allowBlank="1" errorTitle="Valor no válido" error="Elige una opción de la lista." type="list">
      <formula1>"Sí,No"</formula1>
    </dataValidation>
    <dataValidation sqref="D17:D20" showDropDown="0" showInputMessage="0" showErrorMessage="1" allowBlank="1" errorTitle="Valor no válido" error="Elige una opción de la lista." type="list">
      <formula1>"Sí,No"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27"/>
  <sheetViews>
    <sheetView showGridLines="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  <col width="12" customWidth="1" min="4" max="4"/>
    <col width="10" customWidth="1" min="5" max="5"/>
    <col width="12" customWidth="1" min="6" max="6"/>
    <col width="14" customWidth="1" min="7" max="7"/>
    <col width="11" customWidth="1" min="8" max="8"/>
    <col width="14" customWidth="1" min="9" max="9"/>
    <col width="12" customWidth="1" min="10" max="10"/>
    <col width="12" customWidth="1" min="11" max="11"/>
    <col width="15" customWidth="1" min="12" max="12"/>
    <col width="22" customWidth="1" min="13" max="13"/>
    <col width="15" customWidth="1" min="14" max="14"/>
    <col width="12" customWidth="1" min="15" max="15"/>
    <col width="28" customWidth="1" min="16" max="16"/>
  </cols>
  <sheetData>
    <row r="1">
      <c r="A1" s="1" t="inlineStr">
        <is>
          <t>CAPÍTULO 6 · MATERIAL PRÁCTICO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4" customHeight="1">
      <c r="A2" s="3" t="inlineStr">
        <is>
          <t>Informe mensual de campañas</t>
        </is>
      </c>
    </row>
    <row r="3">
      <c r="A3" s="4" t="inlineStr">
        <is>
          <t>Compara con tu objetivo y con el mes anterior</t>
        </is>
      </c>
    </row>
    <row r="5">
      <c r="A5" s="10" t="inlineStr">
        <is>
          <t>Mes</t>
        </is>
      </c>
      <c r="B5" s="20" t="n"/>
    </row>
    <row r="7" ht="30" customHeight="1">
      <c r="A7" s="13" t="inlineStr">
        <is>
          <t>Campaña</t>
        </is>
      </c>
      <c r="B7" s="13" t="inlineStr">
        <is>
          <t>Plataforma</t>
        </is>
      </c>
      <c r="C7" s="13" t="inlineStr">
        <is>
          <t>Objetivo</t>
        </is>
      </c>
      <c r="D7" s="13" t="inlineStr">
        <is>
          <t>Inversión (€)</t>
        </is>
      </c>
      <c r="E7" s="13" t="inlineStr">
        <is>
          <t>Clics</t>
        </is>
      </c>
      <c r="F7" s="13" t="inlineStr">
        <is>
          <t>Conversiones</t>
        </is>
      </c>
      <c r="G7" s="13" t="inlineStr">
        <is>
          <t>Ingresos atribuidos (€)</t>
        </is>
      </c>
      <c r="H7" s="13" t="inlineStr">
        <is>
          <t>Coste por clic</t>
        </is>
      </c>
      <c r="I7" s="13" t="inlineStr">
        <is>
          <t>Coste por conversión</t>
        </is>
      </c>
      <c r="J7" s="13" t="inlineStr">
        <is>
          <t>Retorno (ROAS)</t>
        </is>
      </c>
      <c r="K7" s="13" t="inlineStr">
        <is>
          <t>Tasa de conversión</t>
        </is>
      </c>
      <c r="L7" s="13" t="inlineStr">
        <is>
          <t>Coste por conversión objetivo</t>
        </is>
      </c>
      <c r="M7" s="13" t="inlineStr">
        <is>
          <t>Estado</t>
        </is>
      </c>
      <c r="N7" s="13" t="inlineStr">
        <is>
          <t>Coste por conversión mes anterior</t>
        </is>
      </c>
      <c r="O7" s="13" t="inlineStr">
        <is>
          <t>Variación</t>
        </is>
      </c>
      <c r="P7" s="13" t="inlineStr">
        <is>
          <t>Decisión</t>
        </is>
      </c>
    </row>
    <row r="8">
      <c r="A8" s="21" t="n"/>
      <c r="B8" s="21" t="n"/>
      <c r="C8" s="21" t="n"/>
      <c r="D8" s="22" t="n"/>
      <c r="E8" s="23" t="n"/>
      <c r="F8" s="23" t="n"/>
      <c r="G8" s="22" t="n"/>
      <c r="H8" s="24">
        <f>IF(N(E8)=0,"",D8/E8)</f>
        <v/>
      </c>
      <c r="I8" s="24">
        <f>IF(N(F8)=0,IF(N(D8)&gt;0,"Sin conversiones",""),D8/F8)</f>
        <v/>
      </c>
      <c r="J8" s="25">
        <f>IF(N(D8)=0,"",G8/D8)</f>
        <v/>
      </c>
      <c r="K8" s="26">
        <f>IF(N(E8)=0,"",F8/E8)</f>
        <v/>
      </c>
      <c r="L8" s="27" t="n"/>
      <c r="M8" s="14">
        <f>IF(OR(I8="",N(L8)=0),"",IF(I8="Sin conversiones","Revisar: gasta sin convertir",IF(I8&lt;=L8,"Dentro del objetivo","Por encima del objetivo")))</f>
        <v/>
      </c>
      <c r="N8" s="27" t="n"/>
      <c r="O8" s="28">
        <f>IF(OR(N(I8)=0,N(N8)=0),"",I8/N8-1)</f>
        <v/>
      </c>
      <c r="P8" s="21" t="n"/>
    </row>
    <row r="9">
      <c r="A9" s="21" t="n"/>
      <c r="B9" s="21" t="n"/>
      <c r="C9" s="21" t="n"/>
      <c r="D9" s="22" t="n"/>
      <c r="E9" s="23" t="n"/>
      <c r="F9" s="23" t="n"/>
      <c r="G9" s="22" t="n"/>
      <c r="H9" s="24">
        <f>IF(N(E9)=0,"",D9/E9)</f>
        <v/>
      </c>
      <c r="I9" s="24">
        <f>IF(N(F9)=0,IF(N(D9)&gt;0,"Sin conversiones",""),D9/F9)</f>
        <v/>
      </c>
      <c r="J9" s="25">
        <f>IF(N(D9)=0,"",G9/D9)</f>
        <v/>
      </c>
      <c r="K9" s="26">
        <f>IF(N(E9)=0,"",F9/E9)</f>
        <v/>
      </c>
      <c r="L9" s="27" t="n"/>
      <c r="M9" s="14">
        <f>IF(OR(I9="",N(L9)=0),"",IF(I9="Sin conversiones","Revisar: gasta sin convertir",IF(I9&lt;=L9,"Dentro del objetivo","Por encima del objetivo")))</f>
        <v/>
      </c>
      <c r="N9" s="27" t="n"/>
      <c r="O9" s="28">
        <f>IF(OR(N(I9)=0,N(N9)=0),"",I9/N9-1)</f>
        <v/>
      </c>
      <c r="P9" s="21" t="n"/>
    </row>
    <row r="10">
      <c r="A10" s="21" t="n"/>
      <c r="B10" s="21" t="n"/>
      <c r="C10" s="21" t="n"/>
      <c r="D10" s="22" t="n"/>
      <c r="E10" s="23" t="n"/>
      <c r="F10" s="23" t="n"/>
      <c r="G10" s="22" t="n"/>
      <c r="H10" s="24">
        <f>IF(N(E10)=0,"",D10/E10)</f>
        <v/>
      </c>
      <c r="I10" s="24">
        <f>IF(N(F10)=0,IF(N(D10)&gt;0,"Sin conversiones",""),D10/F10)</f>
        <v/>
      </c>
      <c r="J10" s="25">
        <f>IF(N(D10)=0,"",G10/D10)</f>
        <v/>
      </c>
      <c r="K10" s="26">
        <f>IF(N(E10)=0,"",F10/E10)</f>
        <v/>
      </c>
      <c r="L10" s="27" t="n"/>
      <c r="M10" s="14">
        <f>IF(OR(I10="",N(L10)=0),"",IF(I10="Sin conversiones","Revisar: gasta sin convertir",IF(I10&lt;=L10,"Dentro del objetivo","Por encima del objetivo")))</f>
        <v/>
      </c>
      <c r="N10" s="27" t="n"/>
      <c r="O10" s="28">
        <f>IF(OR(N(I10)=0,N(N10)=0),"",I10/N10-1)</f>
        <v/>
      </c>
      <c r="P10" s="21" t="n"/>
    </row>
    <row r="11">
      <c r="A11" s="21" t="n"/>
      <c r="B11" s="21" t="n"/>
      <c r="C11" s="21" t="n"/>
      <c r="D11" s="22" t="n"/>
      <c r="E11" s="23" t="n"/>
      <c r="F11" s="23" t="n"/>
      <c r="G11" s="22" t="n"/>
      <c r="H11" s="24">
        <f>IF(N(E11)=0,"",D11/E11)</f>
        <v/>
      </c>
      <c r="I11" s="24">
        <f>IF(N(F11)=0,IF(N(D11)&gt;0,"Sin conversiones",""),D11/F11)</f>
        <v/>
      </c>
      <c r="J11" s="25">
        <f>IF(N(D11)=0,"",G11/D11)</f>
        <v/>
      </c>
      <c r="K11" s="26">
        <f>IF(N(E11)=0,"",F11/E11)</f>
        <v/>
      </c>
      <c r="L11" s="27" t="n"/>
      <c r="M11" s="14">
        <f>IF(OR(I11="",N(L11)=0),"",IF(I11="Sin conversiones","Revisar: gasta sin convertir",IF(I11&lt;=L11,"Dentro del objetivo","Por encima del objetivo")))</f>
        <v/>
      </c>
      <c r="N11" s="27" t="n"/>
      <c r="O11" s="28">
        <f>IF(OR(N(I11)=0,N(N11)=0),"",I11/N11-1)</f>
        <v/>
      </c>
      <c r="P11" s="21" t="n"/>
    </row>
    <row r="12">
      <c r="A12" s="21" t="n"/>
      <c r="B12" s="21" t="n"/>
      <c r="C12" s="21" t="n"/>
      <c r="D12" s="22" t="n"/>
      <c r="E12" s="23" t="n"/>
      <c r="F12" s="23" t="n"/>
      <c r="G12" s="22" t="n"/>
      <c r="H12" s="24">
        <f>IF(N(E12)=0,"",D12/E12)</f>
        <v/>
      </c>
      <c r="I12" s="24">
        <f>IF(N(F12)=0,IF(N(D12)&gt;0,"Sin conversiones",""),D12/F12)</f>
        <v/>
      </c>
      <c r="J12" s="25">
        <f>IF(N(D12)=0,"",G12/D12)</f>
        <v/>
      </c>
      <c r="K12" s="26">
        <f>IF(N(E12)=0,"",F12/E12)</f>
        <v/>
      </c>
      <c r="L12" s="27" t="n"/>
      <c r="M12" s="14">
        <f>IF(OR(I12="",N(L12)=0),"",IF(I12="Sin conversiones","Revisar: gasta sin convertir",IF(I12&lt;=L12,"Dentro del objetivo","Por encima del objetivo")))</f>
        <v/>
      </c>
      <c r="N12" s="27" t="n"/>
      <c r="O12" s="28">
        <f>IF(OR(N(I12)=0,N(N12)=0),"",I12/N12-1)</f>
        <v/>
      </c>
      <c r="P12" s="21" t="n"/>
    </row>
    <row r="13">
      <c r="A13" s="21" t="n"/>
      <c r="B13" s="21" t="n"/>
      <c r="C13" s="21" t="n"/>
      <c r="D13" s="22" t="n"/>
      <c r="E13" s="23" t="n"/>
      <c r="F13" s="23" t="n"/>
      <c r="G13" s="22" t="n"/>
      <c r="H13" s="24">
        <f>IF(N(E13)=0,"",D13/E13)</f>
        <v/>
      </c>
      <c r="I13" s="24">
        <f>IF(N(F13)=0,IF(N(D13)&gt;0,"Sin conversiones",""),D13/F13)</f>
        <v/>
      </c>
      <c r="J13" s="25">
        <f>IF(N(D13)=0,"",G13/D13)</f>
        <v/>
      </c>
      <c r="K13" s="26">
        <f>IF(N(E13)=0,"",F13/E13)</f>
        <v/>
      </c>
      <c r="L13" s="27" t="n"/>
      <c r="M13" s="14">
        <f>IF(OR(I13="",N(L13)=0),"",IF(I13="Sin conversiones","Revisar: gasta sin convertir",IF(I13&lt;=L13,"Dentro del objetivo","Por encima del objetivo")))</f>
        <v/>
      </c>
      <c r="N13" s="27" t="n"/>
      <c r="O13" s="28">
        <f>IF(OR(N(I13)=0,N(N13)=0),"",I13/N13-1)</f>
        <v/>
      </c>
      <c r="P13" s="21" t="n"/>
    </row>
    <row r="14">
      <c r="A14" s="21" t="n"/>
      <c r="B14" s="21" t="n"/>
      <c r="C14" s="21" t="n"/>
      <c r="D14" s="22" t="n"/>
      <c r="E14" s="23" t="n"/>
      <c r="F14" s="23" t="n"/>
      <c r="G14" s="22" t="n"/>
      <c r="H14" s="24">
        <f>IF(N(E14)=0,"",D14/E14)</f>
        <v/>
      </c>
      <c r="I14" s="24">
        <f>IF(N(F14)=0,IF(N(D14)&gt;0,"Sin conversiones",""),D14/F14)</f>
        <v/>
      </c>
      <c r="J14" s="25">
        <f>IF(N(D14)=0,"",G14/D14)</f>
        <v/>
      </c>
      <c r="K14" s="26">
        <f>IF(N(E14)=0,"",F14/E14)</f>
        <v/>
      </c>
      <c r="L14" s="27" t="n"/>
      <c r="M14" s="14">
        <f>IF(OR(I14="",N(L14)=0),"",IF(I14="Sin conversiones","Revisar: gasta sin convertir",IF(I14&lt;=L14,"Dentro del objetivo","Por encima del objetivo")))</f>
        <v/>
      </c>
      <c r="N14" s="27" t="n"/>
      <c r="O14" s="28">
        <f>IF(OR(N(I14)=0,N(N14)=0),"",I14/N14-1)</f>
        <v/>
      </c>
      <c r="P14" s="21" t="n"/>
    </row>
    <row r="15">
      <c r="A15" s="21" t="n"/>
      <c r="B15" s="21" t="n"/>
      <c r="C15" s="21" t="n"/>
      <c r="D15" s="22" t="n"/>
      <c r="E15" s="23" t="n"/>
      <c r="F15" s="23" t="n"/>
      <c r="G15" s="22" t="n"/>
      <c r="H15" s="24">
        <f>IF(N(E15)=0,"",D15/E15)</f>
        <v/>
      </c>
      <c r="I15" s="24">
        <f>IF(N(F15)=0,IF(N(D15)&gt;0,"Sin conversiones",""),D15/F15)</f>
        <v/>
      </c>
      <c r="J15" s="25">
        <f>IF(N(D15)=0,"",G15/D15)</f>
        <v/>
      </c>
      <c r="K15" s="26">
        <f>IF(N(E15)=0,"",F15/E15)</f>
        <v/>
      </c>
      <c r="L15" s="27" t="n"/>
      <c r="M15" s="14">
        <f>IF(OR(I15="",N(L15)=0),"",IF(I15="Sin conversiones","Revisar: gasta sin convertir",IF(I15&lt;=L15,"Dentro del objetivo","Por encima del objetivo")))</f>
        <v/>
      </c>
      <c r="N15" s="27" t="n"/>
      <c r="O15" s="28">
        <f>IF(OR(N(I15)=0,N(N15)=0),"",I15/N15-1)</f>
        <v/>
      </c>
      <c r="P15" s="21" t="n"/>
    </row>
    <row r="16">
      <c r="A16" s="21" t="n"/>
      <c r="B16" s="21" t="n"/>
      <c r="C16" s="21" t="n"/>
      <c r="D16" s="22" t="n"/>
      <c r="E16" s="23" t="n"/>
      <c r="F16" s="23" t="n"/>
      <c r="G16" s="22" t="n"/>
      <c r="H16" s="24">
        <f>IF(N(E16)=0,"",D16/E16)</f>
        <v/>
      </c>
      <c r="I16" s="24">
        <f>IF(N(F16)=0,IF(N(D16)&gt;0,"Sin conversiones",""),D16/F16)</f>
        <v/>
      </c>
      <c r="J16" s="25">
        <f>IF(N(D16)=0,"",G16/D16)</f>
        <v/>
      </c>
      <c r="K16" s="26">
        <f>IF(N(E16)=0,"",F16/E16)</f>
        <v/>
      </c>
      <c r="L16" s="27" t="n"/>
      <c r="M16" s="14">
        <f>IF(OR(I16="",N(L16)=0),"",IF(I16="Sin conversiones","Revisar: gasta sin convertir",IF(I16&lt;=L16,"Dentro del objetivo","Por encima del objetivo")))</f>
        <v/>
      </c>
      <c r="N16" s="27" t="n"/>
      <c r="O16" s="28">
        <f>IF(OR(N(I16)=0,N(N16)=0),"",I16/N16-1)</f>
        <v/>
      </c>
      <c r="P16" s="21" t="n"/>
    </row>
    <row r="17">
      <c r="A17" s="21" t="n"/>
      <c r="B17" s="21" t="n"/>
      <c r="C17" s="21" t="n"/>
      <c r="D17" s="22" t="n"/>
      <c r="E17" s="23" t="n"/>
      <c r="F17" s="23" t="n"/>
      <c r="G17" s="22" t="n"/>
      <c r="H17" s="24">
        <f>IF(N(E17)=0,"",D17/E17)</f>
        <v/>
      </c>
      <c r="I17" s="24">
        <f>IF(N(F17)=0,IF(N(D17)&gt;0,"Sin conversiones",""),D17/F17)</f>
        <v/>
      </c>
      <c r="J17" s="25">
        <f>IF(N(D17)=0,"",G17/D17)</f>
        <v/>
      </c>
      <c r="K17" s="26">
        <f>IF(N(E17)=0,"",F17/E17)</f>
        <v/>
      </c>
      <c r="L17" s="27" t="n"/>
      <c r="M17" s="14">
        <f>IF(OR(I17="",N(L17)=0),"",IF(I17="Sin conversiones","Revisar: gasta sin convertir",IF(I17&lt;=L17,"Dentro del objetivo","Por encima del objetivo")))</f>
        <v/>
      </c>
      <c r="N17" s="27" t="n"/>
      <c r="O17" s="28">
        <f>IF(OR(N(I17)=0,N(N17)=0),"",I17/N17-1)</f>
        <v/>
      </c>
      <c r="P17" s="21" t="n"/>
    </row>
    <row r="18">
      <c r="A18" s="21" t="n"/>
      <c r="B18" s="21" t="n"/>
      <c r="C18" s="21" t="n"/>
      <c r="D18" s="22" t="n"/>
      <c r="E18" s="23" t="n"/>
      <c r="F18" s="23" t="n"/>
      <c r="G18" s="22" t="n"/>
      <c r="H18" s="24">
        <f>IF(N(E18)=0,"",D18/E18)</f>
        <v/>
      </c>
      <c r="I18" s="24">
        <f>IF(N(F18)=0,IF(N(D18)&gt;0,"Sin conversiones",""),D18/F18)</f>
        <v/>
      </c>
      <c r="J18" s="25">
        <f>IF(N(D18)=0,"",G18/D18)</f>
        <v/>
      </c>
      <c r="K18" s="26">
        <f>IF(N(E18)=0,"",F18/E18)</f>
        <v/>
      </c>
      <c r="L18" s="27" t="n"/>
      <c r="M18" s="14">
        <f>IF(OR(I18="",N(L18)=0),"",IF(I18="Sin conversiones","Revisar: gasta sin convertir",IF(I18&lt;=L18,"Dentro del objetivo","Por encima del objetivo")))</f>
        <v/>
      </c>
      <c r="N18" s="27" t="n"/>
      <c r="O18" s="28">
        <f>IF(OR(N(I18)=0,N(N18)=0),"",I18/N18-1)</f>
        <v/>
      </c>
      <c r="P18" s="21" t="n"/>
    </row>
    <row r="19">
      <c r="A19" s="21" t="n"/>
      <c r="B19" s="21" t="n"/>
      <c r="C19" s="21" t="n"/>
      <c r="D19" s="22" t="n"/>
      <c r="E19" s="23" t="n"/>
      <c r="F19" s="23" t="n"/>
      <c r="G19" s="22" t="n"/>
      <c r="H19" s="24">
        <f>IF(N(E19)=0,"",D19/E19)</f>
        <v/>
      </c>
      <c r="I19" s="24">
        <f>IF(N(F19)=0,IF(N(D19)&gt;0,"Sin conversiones",""),D19/F19)</f>
        <v/>
      </c>
      <c r="J19" s="25">
        <f>IF(N(D19)=0,"",G19/D19)</f>
        <v/>
      </c>
      <c r="K19" s="26">
        <f>IF(N(E19)=0,"",F19/E19)</f>
        <v/>
      </c>
      <c r="L19" s="27" t="n"/>
      <c r="M19" s="14">
        <f>IF(OR(I19="",N(L19)=0),"",IF(I19="Sin conversiones","Revisar: gasta sin convertir",IF(I19&lt;=L19,"Dentro del objetivo","Por encima del objetivo")))</f>
        <v/>
      </c>
      <c r="N19" s="27" t="n"/>
      <c r="O19" s="28">
        <f>IF(OR(N(I19)=0,N(N19)=0),"",I19/N19-1)</f>
        <v/>
      </c>
      <c r="P19" s="21" t="n"/>
    </row>
    <row r="20">
      <c r="A20" s="29" t="inlineStr">
        <is>
          <t>Total</t>
        </is>
      </c>
      <c r="B20" s="30" t="n"/>
      <c r="C20" s="30" t="n"/>
      <c r="D20" s="31">
        <f>SUM(D8:D19)</f>
        <v/>
      </c>
      <c r="E20" s="32">
        <f>SUM(E8:E19)</f>
        <v/>
      </c>
      <c r="F20" s="32">
        <f>SUM(F8:F19)</f>
        <v/>
      </c>
      <c r="G20" s="31">
        <f>SUM(G8:G19)</f>
        <v/>
      </c>
      <c r="H20" s="33">
        <f>IF(E20=0,"",D20/E20)</f>
        <v/>
      </c>
      <c r="I20" s="33">
        <f>IF(F20=0,"",D20/F20)</f>
        <v/>
      </c>
      <c r="J20" s="34">
        <f>IF(D20=0,"",G20/D20)</f>
        <v/>
      </c>
      <c r="K20" s="35">
        <f>IF(E20=0,"",F20/E20)</f>
        <v/>
      </c>
      <c r="L20" s="30" t="n"/>
      <c r="M20" s="30" t="n"/>
      <c r="N20" s="30" t="n"/>
      <c r="O20" s="30" t="n"/>
      <c r="P20" s="30" t="n"/>
    </row>
    <row r="23" ht="30" customHeight="1">
      <c r="A23" s="13" t="inlineStr">
        <is>
          <t>Métrica</t>
        </is>
      </c>
      <c r="B23" s="13" t="inlineStr">
        <is>
          <t>Cómo se calcula</t>
        </is>
      </c>
      <c r="C23" s="19" t="n"/>
      <c r="D23" s="13" t="inlineStr">
        <is>
          <t>Qué te dice</t>
        </is>
      </c>
    </row>
    <row r="24">
      <c r="A24" s="10" t="inlineStr">
        <is>
          <t>Coste por clic</t>
        </is>
      </c>
      <c r="B24" s="14" t="inlineStr">
        <is>
          <t>Inversión ÷ clics</t>
        </is>
      </c>
      <c r="C24" s="19" t="n"/>
      <c r="D24" s="14" t="inlineStr">
        <is>
          <t>Cuánto te cuesta cada visita</t>
        </is>
      </c>
      <c r="E24" s="18" t="n"/>
      <c r="F24" s="18" t="n"/>
      <c r="G24" s="18" t="n"/>
      <c r="H24" s="19" t="n"/>
    </row>
    <row r="25">
      <c r="A25" s="10" t="inlineStr">
        <is>
          <t>Coste por conversión</t>
        </is>
      </c>
      <c r="B25" s="14" t="inlineStr">
        <is>
          <t>Inversión ÷ conversiones</t>
        </is>
      </c>
      <c r="C25" s="19" t="n"/>
      <c r="D25" s="14" t="inlineStr">
        <is>
          <t>Cuánto te cuesta cada resultado</t>
        </is>
      </c>
      <c r="E25" s="18" t="n"/>
      <c r="F25" s="18" t="n"/>
      <c r="G25" s="18" t="n"/>
      <c r="H25" s="19" t="n"/>
    </row>
    <row r="26">
      <c r="A26" s="10" t="inlineStr">
        <is>
          <t>Retorno de la inversión publicitaria</t>
        </is>
      </c>
      <c r="B26" s="14" t="inlineStr">
        <is>
          <t>Ingresos atribuidos ÷ inversión</t>
        </is>
      </c>
      <c r="C26" s="19" t="n"/>
      <c r="D26" s="14" t="inlineStr">
        <is>
          <t>Cuántos euros vuelven por cada euro invertido</t>
        </is>
      </c>
      <c r="E26" s="18" t="n"/>
      <c r="F26" s="18" t="n"/>
      <c r="G26" s="18" t="n"/>
      <c r="H26" s="19" t="n"/>
    </row>
    <row r="27">
      <c r="A27" s="10" t="inlineStr">
        <is>
          <t>Tasa de conversión</t>
        </is>
      </c>
      <c r="B27" s="14" t="inlineStr">
        <is>
          <t>Conversiones ÷ clics</t>
        </is>
      </c>
      <c r="C27" s="19" t="n"/>
      <c r="D27" s="14" t="inlineStr">
        <is>
          <t>Si tu página de aterrizaje convence</t>
        </is>
      </c>
      <c r="E27" s="18" t="n"/>
      <c r="F27" s="18" t="n"/>
      <c r="G27" s="18" t="n"/>
      <c r="H27" s="19" t="n"/>
    </row>
  </sheetData>
  <mergeCells count="9">
    <mergeCell ref="B24:C24"/>
    <mergeCell ref="D25:H25"/>
    <mergeCell ref="B25:C25"/>
    <mergeCell ref="D24:H24"/>
    <mergeCell ref="B23:C23"/>
    <mergeCell ref="D27:H27"/>
    <mergeCell ref="B26:C26"/>
    <mergeCell ref="B27:C27"/>
    <mergeCell ref="D26:H26"/>
  </mergeCells>
  <conditionalFormatting sqref="M8:M19">
    <cfRule type="cellIs" priority="1" operator="equal" dxfId="0">
      <formula>"Dentro del objetivo"</formula>
    </cfRule>
    <cfRule type="expression" priority="2" dxfId="1">
      <formula>LEFT(M8,3)="Por"</formula>
    </cfRule>
    <cfRule type="expression" priority="3" dxfId="1">
      <formula>LEFT(M8,3)="Rev"</formula>
    </cfRule>
  </conditionalFormatting>
  <dataValidations count="1">
    <dataValidation sqref="C8:C19" showDropDown="0" showInputMessage="0" showErrorMessage="1" allowBlank="1" errorTitle="Valor no válido" error="Elige una opción de la lista." type="list">
      <formula1>"Ventas,Contactos,Notoriedad"</formula1>
    </dataValidation>
  </dataValidations>
  <pageMargins left="0.75" right="0.75" top="1" bottom="1" header="0.5" footer="0.5"/>
  <pageSetup orientation="landscape" paperSize="9" fitToHeight="0" fitToWidth="1"/>
  <headerFooter>
    <oddHeader/>
    <oddFooter>&amp;L&amp;7 Vende más y trabaja menos · Jacob Ruiz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2026-10-22T19:22:29Z</dcterms:created>
  <dcterms:modified xmlns:dcterms="http://purl.org/dc/terms/" xmlns:xsi="http://www.w3.org/2001/XMLSchema-instance" xsi:type="dcterms:W3CDTF">2026-10-22T19:22:29Z</dcterms:modified>
</cp:coreProperties>
</file>