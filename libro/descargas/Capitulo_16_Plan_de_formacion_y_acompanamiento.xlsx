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ómo usarlo" sheetId="1" state="visible" r:id="rId1"/>
    <sheet xmlns:r="http://schemas.openxmlformats.org/officeDocument/2006/relationships" name="Plan de formación" sheetId="2" state="visible" r:id="rId2"/>
    <sheet xmlns:r="http://schemas.openxmlformats.org/officeDocument/2006/relationships" name="Acompañamiento" sheetId="3" state="visible" r:id="rId3"/>
    <sheet xmlns:r="http://schemas.openxmlformats.org/officeDocument/2006/relationships" name="Indicadores de adopción" sheetId="4" state="visible" r:id="rId4"/>
    <sheet xmlns:r="http://schemas.openxmlformats.org/officeDocument/2006/relationships" name="Registro de formación IA" sheetId="5" state="visible" r:id="rId5"/>
  </sheets>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2">
    <font>
      <name val="Calibri"/>
      <family val="2"/>
      <color theme="1"/>
      <sz val="11"/>
      <scheme val="minor"/>
    </font>
    <font>
      <name val="Arial"/>
      <b val="1"/>
      <color rgb="008A5E00"/>
      <sz val="8"/>
    </font>
    <font>
      <name val="Arial"/>
      <b val="1"/>
      <color rgb="001F1F1F"/>
      <sz val="16"/>
    </font>
    <font>
      <name val="Arial"/>
      <color rgb="006B6B6B"/>
      <sz val="10"/>
    </font>
    <font>
      <name val="Arial"/>
      <b val="1"/>
      <sz val="11"/>
    </font>
    <font>
      <name val="Arial"/>
      <sz val="10"/>
    </font>
    <font>
      <name val="Arial"/>
      <b val="1"/>
      <color rgb="008A5E00"/>
      <sz val="9"/>
    </font>
    <font>
      <name val="Arial"/>
      <color rgb="006B6B6B"/>
      <sz val="8"/>
    </font>
    <font>
      <name val="Arial"/>
      <b val="1"/>
      <color rgb="00FFFFFF"/>
      <sz val="9"/>
    </font>
    <font>
      <name val="Arial"/>
      <b val="1"/>
      <color rgb="001F1F1F"/>
      <sz val="9"/>
    </font>
    <font>
      <name val="Arial"/>
      <color rgb="001F1F1F"/>
      <sz val="9"/>
    </font>
    <font>
      <name val="Arial"/>
      <i val="1"/>
      <color rgb="006B6B6B"/>
      <sz val="9"/>
    </font>
  </fonts>
  <fills count="4">
    <fill>
      <patternFill/>
    </fill>
    <fill>
      <patternFill patternType="gray125"/>
    </fill>
    <fill>
      <patternFill patternType="solid">
        <fgColor rgb="00FFF8E6"/>
      </patternFill>
    </fill>
    <fill>
      <patternFill patternType="solid">
        <fgColor rgb="001F1F1F"/>
      </patternFill>
    </fill>
  </fills>
  <borders count="3">
    <border>
      <left/>
      <right/>
      <top/>
      <bottom/>
      <diagonal/>
    </border>
    <border>
      <top style="thick">
        <color rgb="00E3A72F"/>
      </top>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1" pivotButton="0" quotePrefix="0" xfId="0"/>
    <xf numFmtId="0" fontId="0" fillId="0" borderId="1"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0" fillId="2" borderId="0" pivotButton="0" quotePrefix="0" xfId="0"/>
    <xf numFmtId="0" fontId="6" fillId="0" borderId="0" pivotButton="0" quotePrefix="0" xfId="0"/>
    <xf numFmtId="0" fontId="7" fillId="0" borderId="0" applyAlignment="1" pivotButton="0" quotePrefix="0" xfId="0">
      <alignment wrapText="1"/>
    </xf>
    <xf numFmtId="0" fontId="8" fillId="3" borderId="2" applyAlignment="1" pivotButton="0" quotePrefix="0" xfId="0">
      <alignment vertical="center" wrapText="1"/>
    </xf>
    <xf numFmtId="0" fontId="9" fillId="0" borderId="2" applyAlignment="1" pivotButton="0" quotePrefix="0" xfId="0">
      <alignment vertical="top" wrapText="1"/>
    </xf>
    <xf numFmtId="0" fontId="10" fillId="2" borderId="2" applyAlignment="1" pivotButton="0" quotePrefix="0" xfId="0">
      <alignment vertical="top" wrapText="1"/>
    </xf>
    <xf numFmtId="164" fontId="10" fillId="2" borderId="2" applyAlignment="1" pivotButton="0" quotePrefix="0" xfId="0">
      <alignment horizontal="center" vertical="top" wrapText="1"/>
    </xf>
    <xf numFmtId="0" fontId="10" fillId="2" borderId="2" applyAlignment="1" pivotButton="0" quotePrefix="0" xfId="0">
      <alignment horizontal="center" vertical="top" wrapText="1"/>
    </xf>
    <xf numFmtId="0" fontId="11" fillId="0" borderId="2" applyAlignment="1" pivotButton="0" quotePrefix="0" xfId="0">
      <alignment vertical="top" wrapText="1"/>
    </xf>
    <xf numFmtId="164" fontId="10" fillId="0" borderId="2" applyAlignment="1" pivotButton="0" quotePrefix="0" xfId="0">
      <alignment horizontal="center" vertical="top" wrapText="1"/>
    </xf>
    <xf numFmtId="0" fontId="10" fillId="0" borderId="2" applyAlignment="1" pivotButton="0" quotePrefix="0" xfId="0">
      <alignment vertical="top" wrapText="1"/>
    </xf>
    <xf numFmtId="0" fontId="10" fillId="0" borderId="2" applyAlignment="1" pivotButton="0" quotePrefix="0" xfId="0">
      <alignment horizontal="center" vertical="top" wrapText="1"/>
    </xf>
    <xf numFmtId="9" fontId="10" fillId="0" borderId="2" applyAlignment="1" pivotButton="0" quotePrefix="0" xfId="0">
      <alignment horizontal="center" vertical="top" wrapText="1"/>
    </xf>
    <xf numFmtId="165" fontId="10" fillId="2" borderId="2" applyAlignment="1" pivotButton="0" quotePrefix="0" xfId="0">
      <alignment horizontal="center" vertical="top" wrapText="1"/>
    </xf>
  </cellXfs>
  <cellStyles count="1">
    <cellStyle name="Normal" xfId="0" builtinId="0" hidden="0"/>
  </cellStyles>
  <dxfs count="1">
    <dxf>
      <fill>
        <patternFill patternType="solid">
          <fgColor rgb="00E3A72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20"/>
  <sheetViews>
    <sheetView showGridLines="0" workbookViewId="0">
      <selection activeCell="A1" sqref="A1"/>
    </sheetView>
  </sheetViews>
  <sheetFormatPr baseColWidth="8" defaultRowHeight="15"/>
  <cols>
    <col width="4" customWidth="1" min="1" max="1"/>
    <col width="110" customWidth="1" min="2" max="2"/>
  </cols>
  <sheetData>
    <row r="1">
      <c r="A1" s="1" t="inlineStr">
        <is>
          <t>CAPÍTULO 16 · MATERIAL PRÁCTICO</t>
        </is>
      </c>
      <c r="B1" s="2" t="n"/>
    </row>
    <row r="2" ht="24" customHeight="1">
      <c r="A2" s="3" t="inlineStr">
        <is>
          <t>Plan de formación y acompañamiento</t>
        </is>
      </c>
    </row>
    <row r="3">
      <c r="A3" s="4" t="inlineStr">
        <is>
          <t>Material complementario de «Vende más y trabaja menos»</t>
        </is>
      </c>
    </row>
    <row r="6">
      <c r="A6" s="5" t="inlineStr">
        <is>
          <t>1. Plan de formación por perfiles</t>
        </is>
      </c>
    </row>
    <row r="7" ht="30" customHeight="1">
      <c r="B7" s="6" t="inlineStr">
        <is>
          <t>Para cada perfil, anota qué personas lo forman, cuándo será su sesión y quién la imparte. Forma justo antes de que empiecen a usar la herramienta: formar un mes antes del lanzamiento es formar para olvidar.</t>
        </is>
      </c>
    </row>
    <row r="9">
      <c r="A9" s="5" t="inlineStr">
        <is>
          <t>2. Calendario de acompañamiento</t>
        </is>
      </c>
    </row>
    <row r="10" ht="15" customHeight="1">
      <c r="B10" s="6" t="inlineStr">
        <is>
          <t>Escribe la fecha de lanzamiento y la hoja calcula las fechas de cada fase del acompañamiento.</t>
        </is>
      </c>
    </row>
    <row r="12">
      <c r="A12" s="5" t="inlineStr">
        <is>
          <t>3. Indicadores de adopción</t>
        </is>
      </c>
    </row>
    <row r="13" ht="45" customHeight="1">
      <c r="B13" s="6" t="inlineStr">
        <is>
          <t>Cada semana, durante los tres primeros meses, apunta los datos de uso. Mide la adopción con datos, no con impresiones. Si las dudas bajan con las semanas, el equipo está aprendiendo; si se repiten las mismas, falta formación en ese punto.</t>
        </is>
      </c>
    </row>
    <row r="15">
      <c r="A15" s="5" t="inlineStr">
        <is>
          <t>4. Registro de formación en IA</t>
        </is>
      </c>
    </row>
    <row r="16" ht="45" customHeight="1">
      <c r="B16" s="6" t="inlineStr">
        <is>
          <t>Apunta quién se ha formado, en qué y cuándo. El Reglamento europeo de IA obliga a las empresas que usan IA a adoptar medidas para la alfabetización de su personal, y poder enseñar este registro vale más que cualquier explicación. La hoja calcula cuándo toca actualizar cada formación: como mínimo una vez al año.</t>
        </is>
      </c>
    </row>
    <row r="18">
      <c r="A18" s="7" t="n"/>
      <c r="B18" s="8" t="inlineStr">
        <is>
          <t>Las celdas en amarillo claro son para rellenar. Las demás se calculan solas.</t>
        </is>
      </c>
    </row>
    <row r="20" ht="26" customHeight="1">
      <c r="B20" s="9" t="inlineStr">
        <is>
          <t>Material complementario del libro «Vende más y trabaja menos», de Jacob Ruiz. © 2026 Jacob Ruiz. Uso libre en tu empresa; no se permite su venta ni su distribución como material propio.</t>
        </is>
      </c>
    </row>
  </sheetData>
  <pageMargins left="0.75" right="0.75" top="1" bottom="1" header="0.5" footer="0.5"/>
  <pageSetup orientation="landscape" paperSize="9" fitToHeight="0" fitToWidth="1"/>
  <headerFooter>
    <oddHeader/>
    <oddFooter>&amp;L&amp;7 Vende más y trabaja menos · Jacob Ruiz</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H11"/>
  <sheetViews>
    <sheetView showGridLines="0" workbookViewId="0">
      <selection activeCell="A1" sqref="A1"/>
    </sheetView>
  </sheetViews>
  <sheetFormatPr baseColWidth="8" defaultRowHeight="15"/>
  <cols>
    <col width="24" customWidth="1" min="1" max="1"/>
    <col width="46" customWidth="1" min="2" max="2"/>
    <col width="30" customWidth="1" min="3" max="3"/>
    <col width="30" customWidth="1" min="4" max="4"/>
    <col width="13" customWidth="1" min="5" max="5"/>
    <col width="18" customWidth="1" min="6" max="6"/>
    <col width="12" customWidth="1" min="7" max="7"/>
  </cols>
  <sheetData>
    <row r="1">
      <c r="A1" s="1" t="inlineStr">
        <is>
          <t>CAPÍTULO 16 · MATERIAL PRÁCTICO</t>
        </is>
      </c>
      <c r="B1" s="2" t="n"/>
      <c r="C1" s="2" t="n"/>
      <c r="D1" s="2" t="n"/>
      <c r="E1" s="2" t="n"/>
      <c r="F1" s="2" t="n"/>
      <c r="G1" s="2" t="n"/>
      <c r="H1" s="2" t="n"/>
    </row>
    <row r="2" ht="24" customHeight="1">
      <c r="A2" s="3" t="inlineStr">
        <is>
          <t>Plan de formación por perfiles</t>
        </is>
      </c>
    </row>
    <row r="3">
      <c r="A3" s="4" t="inlineStr">
        <is>
          <t>Por perfiles, práctico, con casos reales y justo antes de empezar</t>
        </is>
      </c>
    </row>
    <row r="5" ht="30" customHeight="1">
      <c r="A5" s="10" t="inlineStr">
        <is>
          <t>Perfil</t>
        </is>
      </c>
      <c r="B5" s="10" t="inlineStr">
        <is>
          <t>Qué tiene que dominar</t>
        </is>
      </c>
      <c r="C5" s="10" t="inlineStr">
        <is>
          <t>Formato recomendado</t>
        </is>
      </c>
      <c r="D5" s="10" t="inlineStr">
        <is>
          <t>Personas</t>
        </is>
      </c>
      <c r="E5" s="10" t="inlineStr">
        <is>
          <t>Fecha de la sesión</t>
        </is>
      </c>
      <c r="F5" s="10" t="inlineStr">
        <is>
          <t>Quién la imparte</t>
        </is>
      </c>
      <c r="G5" s="10" t="inlineStr">
        <is>
          <t>¿Hecho?</t>
        </is>
      </c>
    </row>
    <row r="6" ht="44" customHeight="1">
      <c r="A6" s="11" t="inlineStr">
        <is>
          <t>Comercial</t>
        </is>
      </c>
      <c r="B6" s="12" t="inlineStr">
        <is>
          <t>Registrar contactos y actividades, mover oportunidades por el embudo, gestionar sus tareas y recordatorios, usarlo desde el móvil</t>
        </is>
      </c>
      <c r="C6" s="12" t="inlineStr">
        <is>
          <t>Dos sesiones prácticas cortas y una guía rápida de una página</t>
        </is>
      </c>
      <c r="D6" s="12" t="n"/>
      <c r="E6" s="13" t="n"/>
      <c r="F6" s="12" t="n"/>
      <c r="G6" s="14" t="n"/>
    </row>
    <row r="7" ht="44" customHeight="1">
      <c r="A7" s="11" t="inlineStr">
        <is>
          <t>Marketing</t>
        </is>
      </c>
      <c r="B7" s="12" t="inlineStr">
        <is>
          <t>Segmentos, formularios, secuencias de correo, informes de campañas</t>
        </is>
      </c>
      <c r="C7" s="12" t="inlineStr">
        <is>
          <t>Sesión práctica por cada flujo que vaya a gestionar</t>
        </is>
      </c>
      <c r="D7" s="12" t="n"/>
      <c r="E7" s="13" t="n"/>
      <c r="F7" s="12" t="n"/>
      <c r="G7" s="14" t="n"/>
    </row>
    <row r="8" ht="44" customHeight="1">
      <c r="A8" s="11" t="inlineStr">
        <is>
          <t>Atención al cliente y posventa</t>
        </is>
      </c>
      <c r="B8" s="12" t="inlineStr">
        <is>
          <t>Ficha del cliente, incidencias, respuestas rápidas, paso de conversaciones desde el chatbot</t>
        </is>
      </c>
      <c r="C8" s="12" t="inlineStr">
        <is>
          <t>Sesión práctica y práctica acompañada con casos reales</t>
        </is>
      </c>
      <c r="D8" s="12" t="n"/>
      <c r="E8" s="13" t="n"/>
      <c r="F8" s="12" t="n"/>
      <c r="G8" s="14" t="n"/>
    </row>
    <row r="9" ht="44" customHeight="1">
      <c r="A9" s="11" t="inlineStr">
        <is>
          <t>Dirección</t>
        </is>
      </c>
      <c r="B9" s="12" t="inlineStr">
        <is>
          <t>Cuadro de mando, informes y lectura de los indicadores</t>
        </is>
      </c>
      <c r="C9" s="12" t="inlineStr">
        <is>
          <t>Una sesión breve y revisión mensual de datos</t>
        </is>
      </c>
      <c r="D9" s="12" t="n"/>
      <c r="E9" s="13" t="n"/>
      <c r="F9" s="12" t="n"/>
      <c r="G9" s="14" t="n"/>
    </row>
    <row r="10" ht="44" customHeight="1">
      <c r="A10" s="11" t="inlineStr">
        <is>
          <t>Usuario clave de cada área</t>
        </is>
      </c>
      <c r="B10" s="12" t="inlineStr">
        <is>
          <t>Todo lo de su área y la resolución de dudas frecuentes</t>
        </is>
      </c>
      <c r="C10" s="12" t="inlineStr">
        <is>
          <t>Formación más completa antes que el resto</t>
        </is>
      </c>
      <c r="D10" s="12" t="n"/>
      <c r="E10" s="13" t="n"/>
      <c r="F10" s="12" t="n"/>
      <c r="G10" s="14" t="n"/>
    </row>
    <row r="11">
      <c r="A11" s="15" t="inlineStr">
        <is>
          <t>Ejemplo para un CRM: adapta lo que tiene que dominar cada perfil a tu herramienta.</t>
        </is>
      </c>
    </row>
  </sheetData>
  <dataValidations count="1">
    <dataValidation sqref="G6:G10" showDropDown="0" showInputMessage="0" showErrorMessage="1" allowBlank="1" errorTitle="Valor no válido" error="Elige una opción de la lista." type="list">
      <formula1>"Sí,No"</formula1>
    </dataValidation>
  </dataValidations>
  <pageMargins left="0.75" right="0.75" top="1" bottom="1" header="0.5" footer="0.5"/>
  <pageSetup orientation="landscape" paperSize="9" fitToHeight="0" fitToWidth="1"/>
  <headerFooter>
    <oddHeader/>
    <oddFooter>&amp;L&amp;7 Vende más y trabaja menos · Jacob Ruiz</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16"/>
  <sheetViews>
    <sheetView showGridLines="0" workbookViewId="0">
      <selection activeCell="A1" sqref="A1"/>
    </sheetView>
  </sheetViews>
  <sheetFormatPr baseColWidth="8" defaultRowHeight="15"/>
  <cols>
    <col width="24" customWidth="1" min="1" max="1"/>
    <col width="13" customWidth="1" min="2" max="2"/>
    <col width="13" customWidth="1" min="3" max="3"/>
    <col width="56" customWidth="1" min="4" max="4"/>
    <col width="30" customWidth="1" min="5" max="5"/>
    <col width="12" customWidth="1" min="6" max="6"/>
  </cols>
  <sheetData>
    <row r="1">
      <c r="A1" s="1" t="inlineStr">
        <is>
          <t>CAPÍTULO 16 · MATERIAL PRÁCTICO</t>
        </is>
      </c>
      <c r="B1" s="2" t="n"/>
      <c r="C1" s="2" t="n"/>
      <c r="D1" s="2" t="n"/>
      <c r="E1" s="2" t="n"/>
      <c r="F1" s="2" t="n"/>
    </row>
    <row r="2" ht="24" customHeight="1">
      <c r="A2" s="3" t="inlineStr">
        <is>
          <t>Calendario de acompañamiento después del lanzamiento</t>
        </is>
      </c>
    </row>
    <row r="3">
      <c r="A3" s="4" t="inlineStr">
        <is>
          <t>Acompaña hasta que sea costumbre</t>
        </is>
      </c>
    </row>
    <row r="4">
      <c r="A4" s="11" t="inlineStr">
        <is>
          <t>Fecha de lanzamiento</t>
        </is>
      </c>
      <c r="B4" s="13" t="n"/>
    </row>
    <row r="6" ht="30" customHeight="1">
      <c r="A6" s="10" t="inlineStr">
        <is>
          <t>Momento</t>
        </is>
      </c>
      <c r="B6" s="10" t="inlineStr">
        <is>
          <t>Desde</t>
        </is>
      </c>
      <c r="C6" s="10" t="inlineStr">
        <is>
          <t>Hasta</t>
        </is>
      </c>
      <c r="D6" s="10" t="inlineStr">
        <is>
          <t>Qué hacer</t>
        </is>
      </c>
      <c r="E6" s="10" t="inlineStr">
        <is>
          <t>Quién</t>
        </is>
      </c>
      <c r="F6" s="10" t="inlineStr">
        <is>
          <t>¿Hecho?</t>
        </is>
      </c>
    </row>
    <row r="7" ht="34" customHeight="1">
      <c r="A7" s="11" t="inlineStr">
        <is>
          <t>Primera semana</t>
        </is>
      </c>
      <c r="B7" s="16">
        <f>IF($B$4="","",B4)</f>
        <v/>
      </c>
      <c r="C7" s="16">
        <f>IF($B$4="","",B4+6)</f>
        <v/>
      </c>
      <c r="D7" s="17" t="inlineStr">
        <is>
          <t>Soporte diario y puerta abierta: cualquier duda se resuelve en el momento</t>
        </is>
      </c>
      <c r="E7" s="12" t="inlineStr">
        <is>
          <t>Usuarios clave y responsable del proyecto</t>
        </is>
      </c>
      <c r="F7" s="14" t="n"/>
    </row>
    <row r="8" ht="34" customHeight="1">
      <c r="A8" s="11" t="inlineStr">
        <is>
          <t>Semanas 2 a 4</t>
        </is>
      </c>
      <c r="B8" s="16">
        <f>IF($B$4="","",B4+7)</f>
        <v/>
      </c>
      <c r="C8" s="16">
        <f>IF($B$4="","",B4+27)</f>
        <v/>
      </c>
      <c r="D8" s="17" t="inlineStr">
        <is>
          <t>Una sesión semanal de dudas de treinta minutos y ajustes rápidos en la configuración</t>
        </is>
      </c>
      <c r="E8" s="12" t="inlineStr">
        <is>
          <t>Responsable del proyecto</t>
        </is>
      </c>
      <c r="F8" s="14" t="n"/>
    </row>
    <row r="9" ht="34" customHeight="1">
      <c r="A9" s="11" t="inlineStr">
        <is>
          <t>Meses 2 y 3</t>
        </is>
      </c>
      <c r="B9" s="16">
        <f>IF($B$4="","",EDATE(B4,1))</f>
        <v/>
      </c>
      <c r="C9" s="16">
        <f>IF($B$4="","",EDATE(B4,3)-1)</f>
        <v/>
      </c>
      <c r="D9" s="17" t="inlineStr">
        <is>
          <t>Revisión del uso con datos: quién la usa, qué funciones no se usan y por qué; formación de refuerzo donde haga falta</t>
        </is>
      </c>
      <c r="E9" s="12" t="inlineStr">
        <is>
          <t>Responsable del proyecto y dirección</t>
        </is>
      </c>
      <c r="F9" s="14" t="n"/>
    </row>
    <row r="10" ht="34" customHeight="1">
      <c r="A10" s="11" t="inlineStr">
        <is>
          <t>A partir del cuarto mes</t>
        </is>
      </c>
      <c r="B10" s="16">
        <f>IF($B$4="","",EDATE(B4,3))</f>
        <v/>
      </c>
      <c r="C10" s="16" t="inlineStr">
        <is>
          <t>En adelante</t>
        </is>
      </c>
      <c r="D10" s="17" t="inlineStr">
        <is>
          <t>Revisión trimestral, formación de las nuevas incorporaciones y de las funciones nuevas que se activen</t>
        </is>
      </c>
      <c r="E10" s="12" t="inlineStr">
        <is>
          <t>Usuarios clave</t>
        </is>
      </c>
      <c r="F10" s="14" t="n"/>
    </row>
    <row r="12">
      <c r="A12" s="11" t="inlineStr">
        <is>
          <t>Revisiones trimestrales</t>
        </is>
      </c>
    </row>
    <row r="13">
      <c r="A13" s="17" t="inlineStr">
        <is>
          <t>Revisión 1</t>
        </is>
      </c>
      <c r="B13" s="16">
        <f>IF($B$4="","",EDATE($B$4,3))</f>
        <v/>
      </c>
    </row>
    <row r="14">
      <c r="A14" s="17" t="inlineStr">
        <is>
          <t>Revisión 2</t>
        </is>
      </c>
      <c r="B14" s="16">
        <f>IF($B$4="","",EDATE($B$4,6))</f>
        <v/>
      </c>
    </row>
    <row r="15">
      <c r="A15" s="17" t="inlineStr">
        <is>
          <t>Revisión 3</t>
        </is>
      </c>
      <c r="B15" s="16">
        <f>IF($B$4="","",EDATE($B$4,9))</f>
        <v/>
      </c>
    </row>
    <row r="16">
      <c r="A16" s="17" t="inlineStr">
        <is>
          <t>Revisión 4</t>
        </is>
      </c>
      <c r="B16" s="16">
        <f>IF($B$4="","",EDATE($B$4,12))</f>
        <v/>
      </c>
    </row>
  </sheetData>
  <dataValidations count="1">
    <dataValidation sqref="F7:F10" showDropDown="0" showInputMessage="0" showErrorMessage="1" allowBlank="1" errorTitle="Valor no válido" error="Elige una opción de la lista." type="list">
      <formula1>"Sí,No"</formula1>
    </dataValidation>
  </dataValidations>
  <pageMargins left="0.75" right="0.75" top="1" bottom="1" header="0.5" footer="0.5"/>
  <pageSetup orientation="landscape" paperSize="9" fitToHeight="0" fitToWidth="1"/>
  <headerFooter>
    <oddHeader/>
    <oddFooter>&amp;L&amp;7 Vende más y trabaja menos · Jacob Ruiz</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M18"/>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12" customWidth="1" min="3" max="3"/>
    <col width="12" customWidth="1" min="4" max="4"/>
    <col width="11" customWidth="1" min="5" max="5"/>
    <col width="12" customWidth="1" min="6" max="6"/>
    <col width="12" customWidth="1" min="7" max="7"/>
    <col width="11" customWidth="1" min="8" max="8"/>
    <col width="12" customWidth="1" min="9" max="9"/>
    <col width="12" customWidth="1" min="10" max="10"/>
    <col width="11" customWidth="1" min="11" max="11"/>
    <col width="22" customWidth="1" min="12" max="12"/>
    <col width="11" customWidth="1" min="13" max="13"/>
  </cols>
  <sheetData>
    <row r="1">
      <c r="A1" s="1" t="inlineStr">
        <is>
          <t>CAPÍTULO 16 · MATERIAL PRÁCTICO</t>
        </is>
      </c>
      <c r="B1" s="2" t="n"/>
      <c r="C1" s="2" t="n"/>
      <c r="D1" s="2" t="n"/>
      <c r="E1" s="2" t="n"/>
      <c r="F1" s="2" t="n"/>
      <c r="G1" s="2" t="n"/>
      <c r="H1" s="2" t="n"/>
      <c r="I1" s="2" t="n"/>
      <c r="J1" s="2" t="n"/>
      <c r="K1" s="2" t="n"/>
      <c r="L1" s="2" t="n"/>
      <c r="M1" s="2" t="n"/>
    </row>
    <row r="2" ht="24" customHeight="1">
      <c r="A2" s="3" t="inlineStr">
        <is>
          <t>Indicadores de adopción</t>
        </is>
      </c>
    </row>
    <row r="3">
      <c r="A3" s="4" t="inlineStr">
        <is>
          <t>Una fila por semana durante los tres primeros meses</t>
        </is>
      </c>
    </row>
    <row r="5" ht="30" customHeight="1">
      <c r="A5" s="10" t="inlineStr">
        <is>
          <t>Semana</t>
        </is>
      </c>
      <c r="B5" s="10" t="inlineStr">
        <is>
          <t>Semana del</t>
        </is>
      </c>
      <c r="C5" s="10" t="inlineStr">
        <is>
          <t>Personas que deberían usarla</t>
        </is>
      </c>
      <c r="D5" s="10" t="inlineStr">
        <is>
          <t>Usuarios activos</t>
        </is>
      </c>
      <c r="E5" s="10" t="inlineStr">
        <is>
          <t>% activos</t>
        </is>
      </c>
      <c r="F5" s="10" t="inlineStr">
        <is>
          <t>Registros revisados</t>
        </is>
      </c>
      <c r="G5" s="10" t="inlineStr">
        <is>
          <t>Registros con campos clave</t>
        </is>
      </c>
      <c r="H5" s="10" t="inlineStr">
        <is>
          <t>% completos</t>
        </is>
      </c>
      <c r="I5" s="10" t="inlineStr">
        <is>
          <t>Tareas que vencían</t>
        </is>
      </c>
      <c r="J5" s="10" t="inlineStr">
        <is>
          <t>Cerradas a tiempo</t>
        </is>
      </c>
      <c r="K5" s="10" t="inlineStr">
        <is>
          <t>% al día</t>
        </is>
      </c>
      <c r="L5" s="10" t="inlineStr">
        <is>
          <t>Funciones clave que no se usan</t>
        </is>
      </c>
      <c r="M5" s="10" t="inlineStr">
        <is>
          <t>Dudas recibidas</t>
        </is>
      </c>
    </row>
    <row r="6">
      <c r="A6" s="18" t="n">
        <v>1</v>
      </c>
      <c r="B6" s="16">
        <f>IF(Acompañamiento!$B$4="","",Acompañamiento!$B$4+0)</f>
        <v/>
      </c>
      <c r="C6" s="14" t="n"/>
      <c r="D6" s="14" t="n"/>
      <c r="E6" s="19">
        <f>IF(N(C6)=0,"",D6/C6)</f>
        <v/>
      </c>
      <c r="F6" s="14" t="n"/>
      <c r="G6" s="14" t="n"/>
      <c r="H6" s="19">
        <f>IF(N(F6)=0,"",G6/F6)</f>
        <v/>
      </c>
      <c r="I6" s="14" t="n"/>
      <c r="J6" s="14" t="n"/>
      <c r="K6" s="19">
        <f>IF(N(I6)=0,"",J6/I6)</f>
        <v/>
      </c>
      <c r="L6" s="12" t="n"/>
      <c r="M6" s="14" t="n"/>
    </row>
    <row r="7">
      <c r="A7" s="18" t="n">
        <v>2</v>
      </c>
      <c r="B7" s="16">
        <f>IF(Acompañamiento!$B$4="","",Acompañamiento!$B$4+7)</f>
        <v/>
      </c>
      <c r="C7" s="14" t="n"/>
      <c r="D7" s="14" t="n"/>
      <c r="E7" s="19">
        <f>IF(N(C7)=0,"",D7/C7)</f>
        <v/>
      </c>
      <c r="F7" s="14" t="n"/>
      <c r="G7" s="14" t="n"/>
      <c r="H7" s="19">
        <f>IF(N(F7)=0,"",G7/F7)</f>
        <v/>
      </c>
      <c r="I7" s="14" t="n"/>
      <c r="J7" s="14" t="n"/>
      <c r="K7" s="19">
        <f>IF(N(I7)=0,"",J7/I7)</f>
        <v/>
      </c>
      <c r="L7" s="12" t="n"/>
      <c r="M7" s="14" t="n"/>
    </row>
    <row r="8">
      <c r="A8" s="18" t="n">
        <v>3</v>
      </c>
      <c r="B8" s="16">
        <f>IF(Acompañamiento!$B$4="","",Acompañamiento!$B$4+14)</f>
        <v/>
      </c>
      <c r="C8" s="14" t="n"/>
      <c r="D8" s="14" t="n"/>
      <c r="E8" s="19">
        <f>IF(N(C8)=0,"",D8/C8)</f>
        <v/>
      </c>
      <c r="F8" s="14" t="n"/>
      <c r="G8" s="14" t="n"/>
      <c r="H8" s="19">
        <f>IF(N(F8)=0,"",G8/F8)</f>
        <v/>
      </c>
      <c r="I8" s="14" t="n"/>
      <c r="J8" s="14" t="n"/>
      <c r="K8" s="19">
        <f>IF(N(I8)=0,"",J8/I8)</f>
        <v/>
      </c>
      <c r="L8" s="12" t="n"/>
      <c r="M8" s="14" t="n"/>
    </row>
    <row r="9">
      <c r="A9" s="18" t="n">
        <v>4</v>
      </c>
      <c r="B9" s="16">
        <f>IF(Acompañamiento!$B$4="","",Acompañamiento!$B$4+21)</f>
        <v/>
      </c>
      <c r="C9" s="14" t="n"/>
      <c r="D9" s="14" t="n"/>
      <c r="E9" s="19">
        <f>IF(N(C9)=0,"",D9/C9)</f>
        <v/>
      </c>
      <c r="F9" s="14" t="n"/>
      <c r="G9" s="14" t="n"/>
      <c r="H9" s="19">
        <f>IF(N(F9)=0,"",G9/F9)</f>
        <v/>
      </c>
      <c r="I9" s="14" t="n"/>
      <c r="J9" s="14" t="n"/>
      <c r="K9" s="19">
        <f>IF(N(I9)=0,"",J9/I9)</f>
        <v/>
      </c>
      <c r="L9" s="12" t="n"/>
      <c r="M9" s="14" t="n"/>
    </row>
    <row r="10">
      <c r="A10" s="18" t="n">
        <v>5</v>
      </c>
      <c r="B10" s="16">
        <f>IF(Acompañamiento!$B$4="","",Acompañamiento!$B$4+28)</f>
        <v/>
      </c>
      <c r="C10" s="14" t="n"/>
      <c r="D10" s="14" t="n"/>
      <c r="E10" s="19">
        <f>IF(N(C10)=0,"",D10/C10)</f>
        <v/>
      </c>
      <c r="F10" s="14" t="n"/>
      <c r="G10" s="14" t="n"/>
      <c r="H10" s="19">
        <f>IF(N(F10)=0,"",G10/F10)</f>
        <v/>
      </c>
      <c r="I10" s="14" t="n"/>
      <c r="J10" s="14" t="n"/>
      <c r="K10" s="19">
        <f>IF(N(I10)=0,"",J10/I10)</f>
        <v/>
      </c>
      <c r="L10" s="12" t="n"/>
      <c r="M10" s="14" t="n"/>
    </row>
    <row r="11">
      <c r="A11" s="18" t="n">
        <v>6</v>
      </c>
      <c r="B11" s="16">
        <f>IF(Acompañamiento!$B$4="","",Acompañamiento!$B$4+35)</f>
        <v/>
      </c>
      <c r="C11" s="14" t="n"/>
      <c r="D11" s="14" t="n"/>
      <c r="E11" s="19">
        <f>IF(N(C11)=0,"",D11/C11)</f>
        <v/>
      </c>
      <c r="F11" s="14" t="n"/>
      <c r="G11" s="14" t="n"/>
      <c r="H11" s="19">
        <f>IF(N(F11)=0,"",G11/F11)</f>
        <v/>
      </c>
      <c r="I11" s="14" t="n"/>
      <c r="J11" s="14" t="n"/>
      <c r="K11" s="19">
        <f>IF(N(I11)=0,"",J11/I11)</f>
        <v/>
      </c>
      <c r="L11" s="12" t="n"/>
      <c r="M11" s="14" t="n"/>
    </row>
    <row r="12">
      <c r="A12" s="18" t="n">
        <v>7</v>
      </c>
      <c r="B12" s="16">
        <f>IF(Acompañamiento!$B$4="","",Acompañamiento!$B$4+42)</f>
        <v/>
      </c>
      <c r="C12" s="14" t="n"/>
      <c r="D12" s="14" t="n"/>
      <c r="E12" s="19">
        <f>IF(N(C12)=0,"",D12/C12)</f>
        <v/>
      </c>
      <c r="F12" s="14" t="n"/>
      <c r="G12" s="14" t="n"/>
      <c r="H12" s="19">
        <f>IF(N(F12)=0,"",G12/F12)</f>
        <v/>
      </c>
      <c r="I12" s="14" t="n"/>
      <c r="J12" s="14" t="n"/>
      <c r="K12" s="19">
        <f>IF(N(I12)=0,"",J12/I12)</f>
        <v/>
      </c>
      <c r="L12" s="12" t="n"/>
      <c r="M12" s="14" t="n"/>
    </row>
    <row r="13">
      <c r="A13" s="18" t="n">
        <v>8</v>
      </c>
      <c r="B13" s="16">
        <f>IF(Acompañamiento!$B$4="","",Acompañamiento!$B$4+49)</f>
        <v/>
      </c>
      <c r="C13" s="14" t="n"/>
      <c r="D13" s="14" t="n"/>
      <c r="E13" s="19">
        <f>IF(N(C13)=0,"",D13/C13)</f>
        <v/>
      </c>
      <c r="F13" s="14" t="n"/>
      <c r="G13" s="14" t="n"/>
      <c r="H13" s="19">
        <f>IF(N(F13)=0,"",G13/F13)</f>
        <v/>
      </c>
      <c r="I13" s="14" t="n"/>
      <c r="J13" s="14" t="n"/>
      <c r="K13" s="19">
        <f>IF(N(I13)=0,"",J13/I13)</f>
        <v/>
      </c>
      <c r="L13" s="12" t="n"/>
      <c r="M13" s="14" t="n"/>
    </row>
    <row r="14">
      <c r="A14" s="18" t="n">
        <v>9</v>
      </c>
      <c r="B14" s="16">
        <f>IF(Acompañamiento!$B$4="","",Acompañamiento!$B$4+56)</f>
        <v/>
      </c>
      <c r="C14" s="14" t="n"/>
      <c r="D14" s="14" t="n"/>
      <c r="E14" s="19">
        <f>IF(N(C14)=0,"",D14/C14)</f>
        <v/>
      </c>
      <c r="F14" s="14" t="n"/>
      <c r="G14" s="14" t="n"/>
      <c r="H14" s="19">
        <f>IF(N(F14)=0,"",G14/F14)</f>
        <v/>
      </c>
      <c r="I14" s="14" t="n"/>
      <c r="J14" s="14" t="n"/>
      <c r="K14" s="19">
        <f>IF(N(I14)=0,"",J14/I14)</f>
        <v/>
      </c>
      <c r="L14" s="12" t="n"/>
      <c r="M14" s="14" t="n"/>
    </row>
    <row r="15">
      <c r="A15" s="18" t="n">
        <v>10</v>
      </c>
      <c r="B15" s="16">
        <f>IF(Acompañamiento!$B$4="","",Acompañamiento!$B$4+63)</f>
        <v/>
      </c>
      <c r="C15" s="14" t="n"/>
      <c r="D15" s="14" t="n"/>
      <c r="E15" s="19">
        <f>IF(N(C15)=0,"",D15/C15)</f>
        <v/>
      </c>
      <c r="F15" s="14" t="n"/>
      <c r="G15" s="14" t="n"/>
      <c r="H15" s="19">
        <f>IF(N(F15)=0,"",G15/F15)</f>
        <v/>
      </c>
      <c r="I15" s="14" t="n"/>
      <c r="J15" s="14" t="n"/>
      <c r="K15" s="19">
        <f>IF(N(I15)=0,"",J15/I15)</f>
        <v/>
      </c>
      <c r="L15" s="12" t="n"/>
      <c r="M15" s="14" t="n"/>
    </row>
    <row r="16">
      <c r="A16" s="18" t="n">
        <v>11</v>
      </c>
      <c r="B16" s="16">
        <f>IF(Acompañamiento!$B$4="","",Acompañamiento!$B$4+70)</f>
        <v/>
      </c>
      <c r="C16" s="14" t="n"/>
      <c r="D16" s="14" t="n"/>
      <c r="E16" s="19">
        <f>IF(N(C16)=0,"",D16/C16)</f>
        <v/>
      </c>
      <c r="F16" s="14" t="n"/>
      <c r="G16" s="14" t="n"/>
      <c r="H16" s="19">
        <f>IF(N(F16)=0,"",G16/F16)</f>
        <v/>
      </c>
      <c r="I16" s="14" t="n"/>
      <c r="J16" s="14" t="n"/>
      <c r="K16" s="19">
        <f>IF(N(I16)=0,"",J16/I16)</f>
        <v/>
      </c>
      <c r="L16" s="12" t="n"/>
      <c r="M16" s="14" t="n"/>
    </row>
    <row r="17">
      <c r="A17" s="18" t="n">
        <v>12</v>
      </c>
      <c r="B17" s="16">
        <f>IF(Acompañamiento!$B$4="","",Acompañamiento!$B$4+77)</f>
        <v/>
      </c>
      <c r="C17" s="14" t="n"/>
      <c r="D17" s="14" t="n"/>
      <c r="E17" s="19">
        <f>IF(N(C17)=0,"",D17/C17)</f>
        <v/>
      </c>
      <c r="F17" s="14" t="n"/>
      <c r="G17" s="14" t="n"/>
      <c r="H17" s="19">
        <f>IF(N(F17)=0,"",G17/F17)</f>
        <v/>
      </c>
      <c r="I17" s="14" t="n"/>
      <c r="J17" s="14" t="n"/>
      <c r="K17" s="19">
        <f>IF(N(I17)=0,"",J17/I17)</f>
        <v/>
      </c>
      <c r="L17" s="12" t="n"/>
      <c r="M17" s="14" t="n"/>
    </row>
    <row r="18">
      <c r="A18" s="18" t="n">
        <v>13</v>
      </c>
      <c r="B18" s="16">
        <f>IF(Acompañamiento!$B$4="","",Acompañamiento!$B$4+84)</f>
        <v/>
      </c>
      <c r="C18" s="14" t="n"/>
      <c r="D18" s="14" t="n"/>
      <c r="E18" s="19">
        <f>IF(N(C18)=0,"",D18/C18)</f>
        <v/>
      </c>
      <c r="F18" s="14" t="n"/>
      <c r="G18" s="14" t="n"/>
      <c r="H18" s="19">
        <f>IF(N(F18)=0,"",G18/F18)</f>
        <v/>
      </c>
      <c r="I18" s="14" t="n"/>
      <c r="J18" s="14" t="n"/>
      <c r="K18" s="19">
        <f>IF(N(I18)=0,"",J18/I18)</f>
        <v/>
      </c>
      <c r="L18" s="12" t="n"/>
      <c r="M18" s="14" t="n"/>
    </row>
  </sheetData>
  <pageMargins left="0.75" right="0.75" top="1" bottom="1" header="0.5" footer="0.5"/>
  <pageSetup orientation="landscape" paperSize="9" fitToHeight="0" fitToWidth="1"/>
  <headerFooter>
    <oddHeader/>
    <oddFooter>&amp;L&amp;7 Vende más y trabaja menos · Jacob Ruiz</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10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4" customWidth="1" min="1" max="1"/>
    <col width="18" customWidth="1" min="2" max="2"/>
    <col width="14" customWidth="1" min="3" max="3"/>
    <col width="34" customWidth="1" min="4" max="4"/>
    <col width="13" customWidth="1" min="5" max="5"/>
    <col width="11" customWidth="1" min="6" max="6"/>
    <col width="22" customWidth="1" min="7" max="7"/>
    <col width="22" customWidth="1" min="8" max="8"/>
    <col width="15" customWidth="1" min="9" max="9"/>
  </cols>
  <sheetData>
    <row r="1">
      <c r="A1" s="1" t="inlineStr">
        <is>
          <t>CAPÍTULO 16 · MATERIAL PRÁCTICO</t>
        </is>
      </c>
      <c r="B1" s="2" t="n"/>
      <c r="C1" s="2" t="n"/>
      <c r="D1" s="2" t="n"/>
      <c r="E1" s="2" t="n"/>
      <c r="F1" s="2" t="n"/>
      <c r="G1" s="2" t="n"/>
      <c r="H1" s="2" t="n"/>
      <c r="I1" s="2" t="n"/>
      <c r="J1" s="2" t="n"/>
    </row>
    <row r="2" ht="24" customHeight="1">
      <c r="A2" s="3" t="inlineStr">
        <is>
          <t>Registro de formación en IA</t>
        </is>
      </c>
    </row>
    <row r="3">
      <c r="A3" s="4" t="inlineStr">
        <is>
          <t>Quién se ha formado, en qué y cuándo</t>
        </is>
      </c>
    </row>
    <row r="5" ht="30" customHeight="1">
      <c r="A5" s="10" t="inlineStr">
        <is>
          <t>Persona</t>
        </is>
      </c>
      <c r="B5" s="10" t="inlineStr">
        <is>
          <t>Área o puesto</t>
        </is>
      </c>
      <c r="C5" s="10" t="inlineStr">
        <is>
          <t>Nivel</t>
        </is>
      </c>
      <c r="D5" s="10" t="inlineStr">
        <is>
          <t>Formación o contenido</t>
        </is>
      </c>
      <c r="E5" s="10" t="inlineStr">
        <is>
          <t>Fecha</t>
        </is>
      </c>
      <c r="F5" s="10" t="inlineStr">
        <is>
          <t>Horas</t>
        </is>
      </c>
      <c r="G5" s="10" t="inlineStr">
        <is>
          <t>Impartida por o plataforma</t>
        </is>
      </c>
      <c r="H5" s="10" t="inlineStr">
        <is>
          <t>Justificante o certificado</t>
        </is>
      </c>
      <c r="I5" s="10" t="inlineStr">
        <is>
          <t>Actualizar antes del</t>
        </is>
      </c>
    </row>
    <row r="6">
      <c r="A6" s="12" t="n"/>
      <c r="B6" s="12" t="n"/>
      <c r="C6" s="12" t="n"/>
      <c r="D6" s="12" t="n"/>
      <c r="E6" s="13" t="n"/>
      <c r="F6" s="20" t="n"/>
      <c r="G6" s="12" t="n"/>
      <c r="H6" s="12" t="n"/>
      <c r="I6" s="16">
        <f>IF(E6="","",EDATE(E6,12))</f>
        <v/>
      </c>
    </row>
    <row r="7">
      <c r="A7" s="12" t="n"/>
      <c r="B7" s="12" t="n"/>
      <c r="C7" s="12" t="n"/>
      <c r="D7" s="12" t="n"/>
      <c r="E7" s="13" t="n"/>
      <c r="F7" s="20" t="n"/>
      <c r="G7" s="12" t="n"/>
      <c r="H7" s="12" t="n"/>
      <c r="I7" s="16">
        <f>IF(E7="","",EDATE(E7,12))</f>
        <v/>
      </c>
    </row>
    <row r="8">
      <c r="A8" s="12" t="n"/>
      <c r="B8" s="12" t="n"/>
      <c r="C8" s="12" t="n"/>
      <c r="D8" s="12" t="n"/>
      <c r="E8" s="13" t="n"/>
      <c r="F8" s="20" t="n"/>
      <c r="G8" s="12" t="n"/>
      <c r="H8" s="12" t="n"/>
      <c r="I8" s="16">
        <f>IF(E8="","",EDATE(E8,12))</f>
        <v/>
      </c>
    </row>
    <row r="9">
      <c r="A9" s="12" t="n"/>
      <c r="B9" s="12" t="n"/>
      <c r="C9" s="12" t="n"/>
      <c r="D9" s="12" t="n"/>
      <c r="E9" s="13" t="n"/>
      <c r="F9" s="20" t="n"/>
      <c r="G9" s="12" t="n"/>
      <c r="H9" s="12" t="n"/>
      <c r="I9" s="16">
        <f>IF(E9="","",EDATE(E9,12))</f>
        <v/>
      </c>
    </row>
    <row r="10">
      <c r="A10" s="12" t="n"/>
      <c r="B10" s="12" t="n"/>
      <c r="C10" s="12" t="n"/>
      <c r="D10" s="12" t="n"/>
      <c r="E10" s="13" t="n"/>
      <c r="F10" s="20" t="n"/>
      <c r="G10" s="12" t="n"/>
      <c r="H10" s="12" t="n"/>
      <c r="I10" s="16">
        <f>IF(E10="","",EDATE(E10,12))</f>
        <v/>
      </c>
    </row>
    <row r="11">
      <c r="A11" s="12" t="n"/>
      <c r="B11" s="12" t="n"/>
      <c r="C11" s="12" t="n"/>
      <c r="D11" s="12" t="n"/>
      <c r="E11" s="13" t="n"/>
      <c r="F11" s="20" t="n"/>
      <c r="G11" s="12" t="n"/>
      <c r="H11" s="12" t="n"/>
      <c r="I11" s="16">
        <f>IF(E11="","",EDATE(E11,12))</f>
        <v/>
      </c>
    </row>
    <row r="12">
      <c r="A12" s="12" t="n"/>
      <c r="B12" s="12" t="n"/>
      <c r="C12" s="12" t="n"/>
      <c r="D12" s="12" t="n"/>
      <c r="E12" s="13" t="n"/>
      <c r="F12" s="20" t="n"/>
      <c r="G12" s="12" t="n"/>
      <c r="H12" s="12" t="n"/>
      <c r="I12" s="16">
        <f>IF(E12="","",EDATE(E12,12))</f>
        <v/>
      </c>
    </row>
    <row r="13">
      <c r="A13" s="12" t="n"/>
      <c r="B13" s="12" t="n"/>
      <c r="C13" s="12" t="n"/>
      <c r="D13" s="12" t="n"/>
      <c r="E13" s="13" t="n"/>
      <c r="F13" s="20" t="n"/>
      <c r="G13" s="12" t="n"/>
      <c r="H13" s="12" t="n"/>
      <c r="I13" s="16">
        <f>IF(E13="","",EDATE(E13,12))</f>
        <v/>
      </c>
    </row>
    <row r="14">
      <c r="A14" s="12" t="n"/>
      <c r="B14" s="12" t="n"/>
      <c r="C14" s="12" t="n"/>
      <c r="D14" s="12" t="n"/>
      <c r="E14" s="13" t="n"/>
      <c r="F14" s="20" t="n"/>
      <c r="G14" s="12" t="n"/>
      <c r="H14" s="12" t="n"/>
      <c r="I14" s="16">
        <f>IF(E14="","",EDATE(E14,12))</f>
        <v/>
      </c>
    </row>
    <row r="15">
      <c r="A15" s="12" t="n"/>
      <c r="B15" s="12" t="n"/>
      <c r="C15" s="12" t="n"/>
      <c r="D15" s="12" t="n"/>
      <c r="E15" s="13" t="n"/>
      <c r="F15" s="20" t="n"/>
      <c r="G15" s="12" t="n"/>
      <c r="H15" s="12" t="n"/>
      <c r="I15" s="16">
        <f>IF(E15="","",EDATE(E15,12))</f>
        <v/>
      </c>
    </row>
    <row r="16">
      <c r="A16" s="12" t="n"/>
      <c r="B16" s="12" t="n"/>
      <c r="C16" s="12" t="n"/>
      <c r="D16" s="12" t="n"/>
      <c r="E16" s="13" t="n"/>
      <c r="F16" s="20" t="n"/>
      <c r="G16" s="12" t="n"/>
      <c r="H16" s="12" t="n"/>
      <c r="I16" s="16">
        <f>IF(E16="","",EDATE(E16,12))</f>
        <v/>
      </c>
    </row>
    <row r="17">
      <c r="A17" s="12" t="n"/>
      <c r="B17" s="12" t="n"/>
      <c r="C17" s="12" t="n"/>
      <c r="D17" s="12" t="n"/>
      <c r="E17" s="13" t="n"/>
      <c r="F17" s="20" t="n"/>
      <c r="G17" s="12" t="n"/>
      <c r="H17" s="12" t="n"/>
      <c r="I17" s="16">
        <f>IF(E17="","",EDATE(E17,12))</f>
        <v/>
      </c>
    </row>
    <row r="18">
      <c r="A18" s="12" t="n"/>
      <c r="B18" s="12" t="n"/>
      <c r="C18" s="12" t="n"/>
      <c r="D18" s="12" t="n"/>
      <c r="E18" s="13" t="n"/>
      <c r="F18" s="20" t="n"/>
      <c r="G18" s="12" t="n"/>
      <c r="H18" s="12" t="n"/>
      <c r="I18" s="16">
        <f>IF(E18="","",EDATE(E18,12))</f>
        <v/>
      </c>
    </row>
    <row r="19">
      <c r="A19" s="12" t="n"/>
      <c r="B19" s="12" t="n"/>
      <c r="C19" s="12" t="n"/>
      <c r="D19" s="12" t="n"/>
      <c r="E19" s="13" t="n"/>
      <c r="F19" s="20" t="n"/>
      <c r="G19" s="12" t="n"/>
      <c r="H19" s="12" t="n"/>
      <c r="I19" s="16">
        <f>IF(E19="","",EDATE(E19,12))</f>
        <v/>
      </c>
    </row>
    <row r="20">
      <c r="A20" s="12" t="n"/>
      <c r="B20" s="12" t="n"/>
      <c r="C20" s="12" t="n"/>
      <c r="D20" s="12" t="n"/>
      <c r="E20" s="13" t="n"/>
      <c r="F20" s="20" t="n"/>
      <c r="G20" s="12" t="n"/>
      <c r="H20" s="12" t="n"/>
      <c r="I20" s="16">
        <f>IF(E20="","",EDATE(E20,12))</f>
        <v/>
      </c>
    </row>
    <row r="21">
      <c r="A21" s="12" t="n"/>
      <c r="B21" s="12" t="n"/>
      <c r="C21" s="12" t="n"/>
      <c r="D21" s="12" t="n"/>
      <c r="E21" s="13" t="n"/>
      <c r="F21" s="20" t="n"/>
      <c r="G21" s="12" t="n"/>
      <c r="H21" s="12" t="n"/>
      <c r="I21" s="16">
        <f>IF(E21="","",EDATE(E21,12))</f>
        <v/>
      </c>
    </row>
    <row r="22">
      <c r="A22" s="12" t="n"/>
      <c r="B22" s="12" t="n"/>
      <c r="C22" s="12" t="n"/>
      <c r="D22" s="12" t="n"/>
      <c r="E22" s="13" t="n"/>
      <c r="F22" s="20" t="n"/>
      <c r="G22" s="12" t="n"/>
      <c r="H22" s="12" t="n"/>
      <c r="I22" s="16">
        <f>IF(E22="","",EDATE(E22,12))</f>
        <v/>
      </c>
    </row>
    <row r="23">
      <c r="A23" s="12" t="n"/>
      <c r="B23" s="12" t="n"/>
      <c r="C23" s="12" t="n"/>
      <c r="D23" s="12" t="n"/>
      <c r="E23" s="13" t="n"/>
      <c r="F23" s="20" t="n"/>
      <c r="G23" s="12" t="n"/>
      <c r="H23" s="12" t="n"/>
      <c r="I23" s="16">
        <f>IF(E23="","",EDATE(E23,12))</f>
        <v/>
      </c>
    </row>
    <row r="24">
      <c r="A24" s="12" t="n"/>
      <c r="B24" s="12" t="n"/>
      <c r="C24" s="12" t="n"/>
      <c r="D24" s="12" t="n"/>
      <c r="E24" s="13" t="n"/>
      <c r="F24" s="20" t="n"/>
      <c r="G24" s="12" t="n"/>
      <c r="H24" s="12" t="n"/>
      <c r="I24" s="16">
        <f>IF(E24="","",EDATE(E24,12))</f>
        <v/>
      </c>
    </row>
    <row r="25">
      <c r="A25" s="12" t="n"/>
      <c r="B25" s="12" t="n"/>
      <c r="C25" s="12" t="n"/>
      <c r="D25" s="12" t="n"/>
      <c r="E25" s="13" t="n"/>
      <c r="F25" s="20" t="n"/>
      <c r="G25" s="12" t="n"/>
      <c r="H25" s="12" t="n"/>
      <c r="I25" s="16">
        <f>IF(E25="","",EDATE(E25,12))</f>
        <v/>
      </c>
    </row>
    <row r="26">
      <c r="A26" s="12" t="n"/>
      <c r="B26" s="12" t="n"/>
      <c r="C26" s="12" t="n"/>
      <c r="D26" s="12" t="n"/>
      <c r="E26" s="13" t="n"/>
      <c r="F26" s="20" t="n"/>
      <c r="G26" s="12" t="n"/>
      <c r="H26" s="12" t="n"/>
      <c r="I26" s="16">
        <f>IF(E26="","",EDATE(E26,12))</f>
        <v/>
      </c>
    </row>
    <row r="27">
      <c r="A27" s="12" t="n"/>
      <c r="B27" s="12" t="n"/>
      <c r="C27" s="12" t="n"/>
      <c r="D27" s="12" t="n"/>
      <c r="E27" s="13" t="n"/>
      <c r="F27" s="20" t="n"/>
      <c r="G27" s="12" t="n"/>
      <c r="H27" s="12" t="n"/>
      <c r="I27" s="16">
        <f>IF(E27="","",EDATE(E27,12))</f>
        <v/>
      </c>
    </row>
    <row r="28">
      <c r="A28" s="12" t="n"/>
      <c r="B28" s="12" t="n"/>
      <c r="C28" s="12" t="n"/>
      <c r="D28" s="12" t="n"/>
      <c r="E28" s="13" t="n"/>
      <c r="F28" s="20" t="n"/>
      <c r="G28" s="12" t="n"/>
      <c r="H28" s="12" t="n"/>
      <c r="I28" s="16">
        <f>IF(E28="","",EDATE(E28,12))</f>
        <v/>
      </c>
    </row>
    <row r="29">
      <c r="A29" s="12" t="n"/>
      <c r="B29" s="12" t="n"/>
      <c r="C29" s="12" t="n"/>
      <c r="D29" s="12" t="n"/>
      <c r="E29" s="13" t="n"/>
      <c r="F29" s="20" t="n"/>
      <c r="G29" s="12" t="n"/>
      <c r="H29" s="12" t="n"/>
      <c r="I29" s="16">
        <f>IF(E29="","",EDATE(E29,12))</f>
        <v/>
      </c>
    </row>
    <row r="30">
      <c r="A30" s="12" t="n"/>
      <c r="B30" s="12" t="n"/>
      <c r="C30" s="12" t="n"/>
      <c r="D30" s="12" t="n"/>
      <c r="E30" s="13" t="n"/>
      <c r="F30" s="20" t="n"/>
      <c r="G30" s="12" t="n"/>
      <c r="H30" s="12" t="n"/>
      <c r="I30" s="16">
        <f>IF(E30="","",EDATE(E30,12))</f>
        <v/>
      </c>
    </row>
    <row r="31">
      <c r="A31" s="12" t="n"/>
      <c r="B31" s="12" t="n"/>
      <c r="C31" s="12" t="n"/>
      <c r="D31" s="12" t="n"/>
      <c r="E31" s="13" t="n"/>
      <c r="F31" s="20" t="n"/>
      <c r="G31" s="12" t="n"/>
      <c r="H31" s="12" t="n"/>
      <c r="I31" s="16">
        <f>IF(E31="","",EDATE(E31,12))</f>
        <v/>
      </c>
    </row>
    <row r="32">
      <c r="A32" s="12" t="n"/>
      <c r="B32" s="12" t="n"/>
      <c r="C32" s="12" t="n"/>
      <c r="D32" s="12" t="n"/>
      <c r="E32" s="13" t="n"/>
      <c r="F32" s="20" t="n"/>
      <c r="G32" s="12" t="n"/>
      <c r="H32" s="12" t="n"/>
      <c r="I32" s="16">
        <f>IF(E32="","",EDATE(E32,12))</f>
        <v/>
      </c>
    </row>
    <row r="33">
      <c r="A33" s="12" t="n"/>
      <c r="B33" s="12" t="n"/>
      <c r="C33" s="12" t="n"/>
      <c r="D33" s="12" t="n"/>
      <c r="E33" s="13" t="n"/>
      <c r="F33" s="20" t="n"/>
      <c r="G33" s="12" t="n"/>
      <c r="H33" s="12" t="n"/>
      <c r="I33" s="16">
        <f>IF(E33="","",EDATE(E33,12))</f>
        <v/>
      </c>
    </row>
    <row r="34">
      <c r="A34" s="12" t="n"/>
      <c r="B34" s="12" t="n"/>
      <c r="C34" s="12" t="n"/>
      <c r="D34" s="12" t="n"/>
      <c r="E34" s="13" t="n"/>
      <c r="F34" s="20" t="n"/>
      <c r="G34" s="12" t="n"/>
      <c r="H34" s="12" t="n"/>
      <c r="I34" s="16">
        <f>IF(E34="","",EDATE(E34,12))</f>
        <v/>
      </c>
    </row>
    <row r="35">
      <c r="A35" s="12" t="n"/>
      <c r="B35" s="12" t="n"/>
      <c r="C35" s="12" t="n"/>
      <c r="D35" s="12" t="n"/>
      <c r="E35" s="13" t="n"/>
      <c r="F35" s="20" t="n"/>
      <c r="G35" s="12" t="n"/>
      <c r="H35" s="12" t="n"/>
      <c r="I35" s="16">
        <f>IF(E35="","",EDATE(E35,12))</f>
        <v/>
      </c>
    </row>
    <row r="36">
      <c r="A36" s="12" t="n"/>
      <c r="B36" s="12" t="n"/>
      <c r="C36" s="12" t="n"/>
      <c r="D36" s="12" t="n"/>
      <c r="E36" s="13" t="n"/>
      <c r="F36" s="20" t="n"/>
      <c r="G36" s="12" t="n"/>
      <c r="H36" s="12" t="n"/>
      <c r="I36" s="16">
        <f>IF(E36="","",EDATE(E36,12))</f>
        <v/>
      </c>
    </row>
    <row r="37">
      <c r="A37" s="12" t="n"/>
      <c r="B37" s="12" t="n"/>
      <c r="C37" s="12" t="n"/>
      <c r="D37" s="12" t="n"/>
      <c r="E37" s="13" t="n"/>
      <c r="F37" s="20" t="n"/>
      <c r="G37" s="12" t="n"/>
      <c r="H37" s="12" t="n"/>
      <c r="I37" s="16">
        <f>IF(E37="","",EDATE(E37,12))</f>
        <v/>
      </c>
    </row>
    <row r="38">
      <c r="A38" s="12" t="n"/>
      <c r="B38" s="12" t="n"/>
      <c r="C38" s="12" t="n"/>
      <c r="D38" s="12" t="n"/>
      <c r="E38" s="13" t="n"/>
      <c r="F38" s="20" t="n"/>
      <c r="G38" s="12" t="n"/>
      <c r="H38" s="12" t="n"/>
      <c r="I38" s="16">
        <f>IF(E38="","",EDATE(E38,12))</f>
        <v/>
      </c>
    </row>
    <row r="39">
      <c r="A39" s="12" t="n"/>
      <c r="B39" s="12" t="n"/>
      <c r="C39" s="12" t="n"/>
      <c r="D39" s="12" t="n"/>
      <c r="E39" s="13" t="n"/>
      <c r="F39" s="20" t="n"/>
      <c r="G39" s="12" t="n"/>
      <c r="H39" s="12" t="n"/>
      <c r="I39" s="16">
        <f>IF(E39="","",EDATE(E39,12))</f>
        <v/>
      </c>
    </row>
    <row r="40">
      <c r="A40" s="12" t="n"/>
      <c r="B40" s="12" t="n"/>
      <c r="C40" s="12" t="n"/>
      <c r="D40" s="12" t="n"/>
      <c r="E40" s="13" t="n"/>
      <c r="F40" s="20" t="n"/>
      <c r="G40" s="12" t="n"/>
      <c r="H40" s="12" t="n"/>
      <c r="I40" s="16">
        <f>IF(E40="","",EDATE(E40,12))</f>
        <v/>
      </c>
    </row>
    <row r="41">
      <c r="A41" s="12" t="n"/>
      <c r="B41" s="12" t="n"/>
      <c r="C41" s="12" t="n"/>
      <c r="D41" s="12" t="n"/>
      <c r="E41" s="13" t="n"/>
      <c r="F41" s="20" t="n"/>
      <c r="G41" s="12" t="n"/>
      <c r="H41" s="12" t="n"/>
      <c r="I41" s="16">
        <f>IF(E41="","",EDATE(E41,12))</f>
        <v/>
      </c>
    </row>
    <row r="42">
      <c r="A42" s="12" t="n"/>
      <c r="B42" s="12" t="n"/>
      <c r="C42" s="12" t="n"/>
      <c r="D42" s="12" t="n"/>
      <c r="E42" s="13" t="n"/>
      <c r="F42" s="20" t="n"/>
      <c r="G42" s="12" t="n"/>
      <c r="H42" s="12" t="n"/>
      <c r="I42" s="16">
        <f>IF(E42="","",EDATE(E42,12))</f>
        <v/>
      </c>
    </row>
    <row r="43">
      <c r="A43" s="12" t="n"/>
      <c r="B43" s="12" t="n"/>
      <c r="C43" s="12" t="n"/>
      <c r="D43" s="12" t="n"/>
      <c r="E43" s="13" t="n"/>
      <c r="F43" s="20" t="n"/>
      <c r="G43" s="12" t="n"/>
      <c r="H43" s="12" t="n"/>
      <c r="I43" s="16">
        <f>IF(E43="","",EDATE(E43,12))</f>
        <v/>
      </c>
    </row>
    <row r="44">
      <c r="A44" s="12" t="n"/>
      <c r="B44" s="12" t="n"/>
      <c r="C44" s="12" t="n"/>
      <c r="D44" s="12" t="n"/>
      <c r="E44" s="13" t="n"/>
      <c r="F44" s="20" t="n"/>
      <c r="G44" s="12" t="n"/>
      <c r="H44" s="12" t="n"/>
      <c r="I44" s="16">
        <f>IF(E44="","",EDATE(E44,12))</f>
        <v/>
      </c>
    </row>
    <row r="45">
      <c r="A45" s="12" t="n"/>
      <c r="B45" s="12" t="n"/>
      <c r="C45" s="12" t="n"/>
      <c r="D45" s="12" t="n"/>
      <c r="E45" s="13" t="n"/>
      <c r="F45" s="20" t="n"/>
      <c r="G45" s="12" t="n"/>
      <c r="H45" s="12" t="n"/>
      <c r="I45" s="16">
        <f>IF(E45="","",EDATE(E45,12))</f>
        <v/>
      </c>
    </row>
    <row r="46">
      <c r="A46" s="12" t="n"/>
      <c r="B46" s="12" t="n"/>
      <c r="C46" s="12" t="n"/>
      <c r="D46" s="12" t="n"/>
      <c r="E46" s="13" t="n"/>
      <c r="F46" s="20" t="n"/>
      <c r="G46" s="12" t="n"/>
      <c r="H46" s="12" t="n"/>
      <c r="I46" s="16">
        <f>IF(E46="","",EDATE(E46,12))</f>
        <v/>
      </c>
    </row>
    <row r="47">
      <c r="A47" s="12" t="n"/>
      <c r="B47" s="12" t="n"/>
      <c r="C47" s="12" t="n"/>
      <c r="D47" s="12" t="n"/>
      <c r="E47" s="13" t="n"/>
      <c r="F47" s="20" t="n"/>
      <c r="G47" s="12" t="n"/>
      <c r="H47" s="12" t="n"/>
      <c r="I47" s="16">
        <f>IF(E47="","",EDATE(E47,12))</f>
        <v/>
      </c>
    </row>
    <row r="48">
      <c r="A48" s="12" t="n"/>
      <c r="B48" s="12" t="n"/>
      <c r="C48" s="12" t="n"/>
      <c r="D48" s="12" t="n"/>
      <c r="E48" s="13" t="n"/>
      <c r="F48" s="20" t="n"/>
      <c r="G48" s="12" t="n"/>
      <c r="H48" s="12" t="n"/>
      <c r="I48" s="16">
        <f>IF(E48="","",EDATE(E48,12))</f>
        <v/>
      </c>
    </row>
    <row r="49">
      <c r="A49" s="12" t="n"/>
      <c r="B49" s="12" t="n"/>
      <c r="C49" s="12" t="n"/>
      <c r="D49" s="12" t="n"/>
      <c r="E49" s="13" t="n"/>
      <c r="F49" s="20" t="n"/>
      <c r="G49" s="12" t="n"/>
      <c r="H49" s="12" t="n"/>
      <c r="I49" s="16">
        <f>IF(E49="","",EDATE(E49,12))</f>
        <v/>
      </c>
    </row>
    <row r="50">
      <c r="A50" s="12" t="n"/>
      <c r="B50" s="12" t="n"/>
      <c r="C50" s="12" t="n"/>
      <c r="D50" s="12" t="n"/>
      <c r="E50" s="13" t="n"/>
      <c r="F50" s="20" t="n"/>
      <c r="G50" s="12" t="n"/>
      <c r="H50" s="12" t="n"/>
      <c r="I50" s="16">
        <f>IF(E50="","",EDATE(E50,12))</f>
        <v/>
      </c>
    </row>
    <row r="51">
      <c r="A51" s="12" t="n"/>
      <c r="B51" s="12" t="n"/>
      <c r="C51" s="12" t="n"/>
      <c r="D51" s="12" t="n"/>
      <c r="E51" s="13" t="n"/>
      <c r="F51" s="20" t="n"/>
      <c r="G51" s="12" t="n"/>
      <c r="H51" s="12" t="n"/>
      <c r="I51" s="16">
        <f>IF(E51="","",EDATE(E51,12))</f>
        <v/>
      </c>
    </row>
    <row r="52">
      <c r="A52" s="12" t="n"/>
      <c r="B52" s="12" t="n"/>
      <c r="C52" s="12" t="n"/>
      <c r="D52" s="12" t="n"/>
      <c r="E52" s="13" t="n"/>
      <c r="F52" s="20" t="n"/>
      <c r="G52" s="12" t="n"/>
      <c r="H52" s="12" t="n"/>
      <c r="I52" s="16">
        <f>IF(E52="","",EDATE(E52,12))</f>
        <v/>
      </c>
    </row>
    <row r="53">
      <c r="A53" s="12" t="n"/>
      <c r="B53" s="12" t="n"/>
      <c r="C53" s="12" t="n"/>
      <c r="D53" s="12" t="n"/>
      <c r="E53" s="13" t="n"/>
      <c r="F53" s="20" t="n"/>
      <c r="G53" s="12" t="n"/>
      <c r="H53" s="12" t="n"/>
      <c r="I53" s="16">
        <f>IF(E53="","",EDATE(E53,12))</f>
        <v/>
      </c>
    </row>
    <row r="54">
      <c r="A54" s="12" t="n"/>
      <c r="B54" s="12" t="n"/>
      <c r="C54" s="12" t="n"/>
      <c r="D54" s="12" t="n"/>
      <c r="E54" s="13" t="n"/>
      <c r="F54" s="20" t="n"/>
      <c r="G54" s="12" t="n"/>
      <c r="H54" s="12" t="n"/>
      <c r="I54" s="16">
        <f>IF(E54="","",EDATE(E54,12))</f>
        <v/>
      </c>
    </row>
    <row r="55">
      <c r="A55" s="12" t="n"/>
      <c r="B55" s="12" t="n"/>
      <c r="C55" s="12" t="n"/>
      <c r="D55" s="12" t="n"/>
      <c r="E55" s="13" t="n"/>
      <c r="F55" s="20" t="n"/>
      <c r="G55" s="12" t="n"/>
      <c r="H55" s="12" t="n"/>
      <c r="I55" s="16">
        <f>IF(E55="","",EDATE(E55,12))</f>
        <v/>
      </c>
    </row>
    <row r="56">
      <c r="A56" s="12" t="n"/>
      <c r="B56" s="12" t="n"/>
      <c r="C56" s="12" t="n"/>
      <c r="D56" s="12" t="n"/>
      <c r="E56" s="13" t="n"/>
      <c r="F56" s="20" t="n"/>
      <c r="G56" s="12" t="n"/>
      <c r="H56" s="12" t="n"/>
      <c r="I56" s="16">
        <f>IF(E56="","",EDATE(E56,12))</f>
        <v/>
      </c>
    </row>
    <row r="57">
      <c r="A57" s="12" t="n"/>
      <c r="B57" s="12" t="n"/>
      <c r="C57" s="12" t="n"/>
      <c r="D57" s="12" t="n"/>
      <c r="E57" s="13" t="n"/>
      <c r="F57" s="20" t="n"/>
      <c r="G57" s="12" t="n"/>
      <c r="H57" s="12" t="n"/>
      <c r="I57" s="16">
        <f>IF(E57="","",EDATE(E57,12))</f>
        <v/>
      </c>
    </row>
    <row r="58">
      <c r="A58" s="12" t="n"/>
      <c r="B58" s="12" t="n"/>
      <c r="C58" s="12" t="n"/>
      <c r="D58" s="12" t="n"/>
      <c r="E58" s="13" t="n"/>
      <c r="F58" s="20" t="n"/>
      <c r="G58" s="12" t="n"/>
      <c r="H58" s="12" t="n"/>
      <c r="I58" s="16">
        <f>IF(E58="","",EDATE(E58,12))</f>
        <v/>
      </c>
    </row>
    <row r="59">
      <c r="A59" s="12" t="n"/>
      <c r="B59" s="12" t="n"/>
      <c r="C59" s="12" t="n"/>
      <c r="D59" s="12" t="n"/>
      <c r="E59" s="13" t="n"/>
      <c r="F59" s="20" t="n"/>
      <c r="G59" s="12" t="n"/>
      <c r="H59" s="12" t="n"/>
      <c r="I59" s="16">
        <f>IF(E59="","",EDATE(E59,12))</f>
        <v/>
      </c>
    </row>
    <row r="60">
      <c r="A60" s="12" t="n"/>
      <c r="B60" s="12" t="n"/>
      <c r="C60" s="12" t="n"/>
      <c r="D60" s="12" t="n"/>
      <c r="E60" s="13" t="n"/>
      <c r="F60" s="20" t="n"/>
      <c r="G60" s="12" t="n"/>
      <c r="H60" s="12" t="n"/>
      <c r="I60" s="16">
        <f>IF(E60="","",EDATE(E60,12))</f>
        <v/>
      </c>
    </row>
    <row r="61">
      <c r="A61" s="12" t="n"/>
      <c r="B61" s="12" t="n"/>
      <c r="C61" s="12" t="n"/>
      <c r="D61" s="12" t="n"/>
      <c r="E61" s="13" t="n"/>
      <c r="F61" s="20" t="n"/>
      <c r="G61" s="12" t="n"/>
      <c r="H61" s="12" t="n"/>
      <c r="I61" s="16">
        <f>IF(E61="","",EDATE(E61,12))</f>
        <v/>
      </c>
    </row>
    <row r="62">
      <c r="A62" s="12" t="n"/>
      <c r="B62" s="12" t="n"/>
      <c r="C62" s="12" t="n"/>
      <c r="D62" s="12" t="n"/>
      <c r="E62" s="13" t="n"/>
      <c r="F62" s="20" t="n"/>
      <c r="G62" s="12" t="n"/>
      <c r="H62" s="12" t="n"/>
      <c r="I62" s="16">
        <f>IF(E62="","",EDATE(E62,12))</f>
        <v/>
      </c>
    </row>
    <row r="63">
      <c r="A63" s="12" t="n"/>
      <c r="B63" s="12" t="n"/>
      <c r="C63" s="12" t="n"/>
      <c r="D63" s="12" t="n"/>
      <c r="E63" s="13" t="n"/>
      <c r="F63" s="20" t="n"/>
      <c r="G63" s="12" t="n"/>
      <c r="H63" s="12" t="n"/>
      <c r="I63" s="16">
        <f>IF(E63="","",EDATE(E63,12))</f>
        <v/>
      </c>
    </row>
    <row r="64">
      <c r="A64" s="12" t="n"/>
      <c r="B64" s="12" t="n"/>
      <c r="C64" s="12" t="n"/>
      <c r="D64" s="12" t="n"/>
      <c r="E64" s="13" t="n"/>
      <c r="F64" s="20" t="n"/>
      <c r="G64" s="12" t="n"/>
      <c r="H64" s="12" t="n"/>
      <c r="I64" s="16">
        <f>IF(E64="","",EDATE(E64,12))</f>
        <v/>
      </c>
    </row>
    <row r="65">
      <c r="A65" s="12" t="n"/>
      <c r="B65" s="12" t="n"/>
      <c r="C65" s="12" t="n"/>
      <c r="D65" s="12" t="n"/>
      <c r="E65" s="13" t="n"/>
      <c r="F65" s="20" t="n"/>
      <c r="G65" s="12" t="n"/>
      <c r="H65" s="12" t="n"/>
      <c r="I65" s="16">
        <f>IF(E65="","",EDATE(E65,12))</f>
        <v/>
      </c>
    </row>
    <row r="66">
      <c r="A66" s="12" t="n"/>
      <c r="B66" s="12" t="n"/>
      <c r="C66" s="12" t="n"/>
      <c r="D66" s="12" t="n"/>
      <c r="E66" s="13" t="n"/>
      <c r="F66" s="20" t="n"/>
      <c r="G66" s="12" t="n"/>
      <c r="H66" s="12" t="n"/>
      <c r="I66" s="16">
        <f>IF(E66="","",EDATE(E66,12))</f>
        <v/>
      </c>
    </row>
    <row r="67">
      <c r="A67" s="12" t="n"/>
      <c r="B67" s="12" t="n"/>
      <c r="C67" s="12" t="n"/>
      <c r="D67" s="12" t="n"/>
      <c r="E67" s="13" t="n"/>
      <c r="F67" s="20" t="n"/>
      <c r="G67" s="12" t="n"/>
      <c r="H67" s="12" t="n"/>
      <c r="I67" s="16">
        <f>IF(E67="","",EDATE(E67,12))</f>
        <v/>
      </c>
    </row>
    <row r="68">
      <c r="A68" s="12" t="n"/>
      <c r="B68" s="12" t="n"/>
      <c r="C68" s="12" t="n"/>
      <c r="D68" s="12" t="n"/>
      <c r="E68" s="13" t="n"/>
      <c r="F68" s="20" t="n"/>
      <c r="G68" s="12" t="n"/>
      <c r="H68" s="12" t="n"/>
      <c r="I68" s="16">
        <f>IF(E68="","",EDATE(E68,12))</f>
        <v/>
      </c>
    </row>
    <row r="69">
      <c r="A69" s="12" t="n"/>
      <c r="B69" s="12" t="n"/>
      <c r="C69" s="12" t="n"/>
      <c r="D69" s="12" t="n"/>
      <c r="E69" s="13" t="n"/>
      <c r="F69" s="20" t="n"/>
      <c r="G69" s="12" t="n"/>
      <c r="H69" s="12" t="n"/>
      <c r="I69" s="16">
        <f>IF(E69="","",EDATE(E69,12))</f>
        <v/>
      </c>
    </row>
    <row r="70">
      <c r="A70" s="12" t="n"/>
      <c r="B70" s="12" t="n"/>
      <c r="C70" s="12" t="n"/>
      <c r="D70" s="12" t="n"/>
      <c r="E70" s="13" t="n"/>
      <c r="F70" s="20" t="n"/>
      <c r="G70" s="12" t="n"/>
      <c r="H70" s="12" t="n"/>
      <c r="I70" s="16">
        <f>IF(E70="","",EDATE(E70,12))</f>
        <v/>
      </c>
    </row>
    <row r="71">
      <c r="A71" s="12" t="n"/>
      <c r="B71" s="12" t="n"/>
      <c r="C71" s="12" t="n"/>
      <c r="D71" s="12" t="n"/>
      <c r="E71" s="13" t="n"/>
      <c r="F71" s="20" t="n"/>
      <c r="G71" s="12" t="n"/>
      <c r="H71" s="12" t="n"/>
      <c r="I71" s="16">
        <f>IF(E71="","",EDATE(E71,12))</f>
        <v/>
      </c>
    </row>
    <row r="72">
      <c r="A72" s="12" t="n"/>
      <c r="B72" s="12" t="n"/>
      <c r="C72" s="12" t="n"/>
      <c r="D72" s="12" t="n"/>
      <c r="E72" s="13" t="n"/>
      <c r="F72" s="20" t="n"/>
      <c r="G72" s="12" t="n"/>
      <c r="H72" s="12" t="n"/>
      <c r="I72" s="16">
        <f>IF(E72="","",EDATE(E72,12))</f>
        <v/>
      </c>
    </row>
    <row r="73">
      <c r="A73" s="12" t="n"/>
      <c r="B73" s="12" t="n"/>
      <c r="C73" s="12" t="n"/>
      <c r="D73" s="12" t="n"/>
      <c r="E73" s="13" t="n"/>
      <c r="F73" s="20" t="n"/>
      <c r="G73" s="12" t="n"/>
      <c r="H73" s="12" t="n"/>
      <c r="I73" s="16">
        <f>IF(E73="","",EDATE(E73,12))</f>
        <v/>
      </c>
    </row>
    <row r="74">
      <c r="A74" s="12" t="n"/>
      <c r="B74" s="12" t="n"/>
      <c r="C74" s="12" t="n"/>
      <c r="D74" s="12" t="n"/>
      <c r="E74" s="13" t="n"/>
      <c r="F74" s="20" t="n"/>
      <c r="G74" s="12" t="n"/>
      <c r="H74" s="12" t="n"/>
      <c r="I74" s="16">
        <f>IF(E74="","",EDATE(E74,12))</f>
        <v/>
      </c>
    </row>
    <row r="75">
      <c r="A75" s="12" t="n"/>
      <c r="B75" s="12" t="n"/>
      <c r="C75" s="12" t="n"/>
      <c r="D75" s="12" t="n"/>
      <c r="E75" s="13" t="n"/>
      <c r="F75" s="20" t="n"/>
      <c r="G75" s="12" t="n"/>
      <c r="H75" s="12" t="n"/>
      <c r="I75" s="16">
        <f>IF(E75="","",EDATE(E75,12))</f>
        <v/>
      </c>
    </row>
    <row r="76">
      <c r="A76" s="12" t="n"/>
      <c r="B76" s="12" t="n"/>
      <c r="C76" s="12" t="n"/>
      <c r="D76" s="12" t="n"/>
      <c r="E76" s="13" t="n"/>
      <c r="F76" s="20" t="n"/>
      <c r="G76" s="12" t="n"/>
      <c r="H76" s="12" t="n"/>
      <c r="I76" s="16">
        <f>IF(E76="","",EDATE(E76,12))</f>
        <v/>
      </c>
    </row>
    <row r="77">
      <c r="A77" s="12" t="n"/>
      <c r="B77" s="12" t="n"/>
      <c r="C77" s="12" t="n"/>
      <c r="D77" s="12" t="n"/>
      <c r="E77" s="13" t="n"/>
      <c r="F77" s="20" t="n"/>
      <c r="G77" s="12" t="n"/>
      <c r="H77" s="12" t="n"/>
      <c r="I77" s="16">
        <f>IF(E77="","",EDATE(E77,12))</f>
        <v/>
      </c>
    </row>
    <row r="78">
      <c r="A78" s="12" t="n"/>
      <c r="B78" s="12" t="n"/>
      <c r="C78" s="12" t="n"/>
      <c r="D78" s="12" t="n"/>
      <c r="E78" s="13" t="n"/>
      <c r="F78" s="20" t="n"/>
      <c r="G78" s="12" t="n"/>
      <c r="H78" s="12" t="n"/>
      <c r="I78" s="16">
        <f>IF(E78="","",EDATE(E78,12))</f>
        <v/>
      </c>
    </row>
    <row r="79">
      <c r="A79" s="12" t="n"/>
      <c r="B79" s="12" t="n"/>
      <c r="C79" s="12" t="n"/>
      <c r="D79" s="12" t="n"/>
      <c r="E79" s="13" t="n"/>
      <c r="F79" s="20" t="n"/>
      <c r="G79" s="12" t="n"/>
      <c r="H79" s="12" t="n"/>
      <c r="I79" s="16">
        <f>IF(E79="","",EDATE(E79,12))</f>
        <v/>
      </c>
    </row>
    <row r="80">
      <c r="A80" s="12" t="n"/>
      <c r="B80" s="12" t="n"/>
      <c r="C80" s="12" t="n"/>
      <c r="D80" s="12" t="n"/>
      <c r="E80" s="13" t="n"/>
      <c r="F80" s="20" t="n"/>
      <c r="G80" s="12" t="n"/>
      <c r="H80" s="12" t="n"/>
      <c r="I80" s="16">
        <f>IF(E80="","",EDATE(E80,12))</f>
        <v/>
      </c>
    </row>
    <row r="81">
      <c r="A81" s="12" t="n"/>
      <c r="B81" s="12" t="n"/>
      <c r="C81" s="12" t="n"/>
      <c r="D81" s="12" t="n"/>
      <c r="E81" s="13" t="n"/>
      <c r="F81" s="20" t="n"/>
      <c r="G81" s="12" t="n"/>
      <c r="H81" s="12" t="n"/>
      <c r="I81" s="16">
        <f>IF(E81="","",EDATE(E81,12))</f>
        <v/>
      </c>
    </row>
    <row r="82">
      <c r="A82" s="12" t="n"/>
      <c r="B82" s="12" t="n"/>
      <c r="C82" s="12" t="n"/>
      <c r="D82" s="12" t="n"/>
      <c r="E82" s="13" t="n"/>
      <c r="F82" s="20" t="n"/>
      <c r="G82" s="12" t="n"/>
      <c r="H82" s="12" t="n"/>
      <c r="I82" s="16">
        <f>IF(E82="","",EDATE(E82,12))</f>
        <v/>
      </c>
    </row>
    <row r="83">
      <c r="A83" s="12" t="n"/>
      <c r="B83" s="12" t="n"/>
      <c r="C83" s="12" t="n"/>
      <c r="D83" s="12" t="n"/>
      <c r="E83" s="13" t="n"/>
      <c r="F83" s="20" t="n"/>
      <c r="G83" s="12" t="n"/>
      <c r="H83" s="12" t="n"/>
      <c r="I83" s="16">
        <f>IF(E83="","",EDATE(E83,12))</f>
        <v/>
      </c>
    </row>
    <row r="84">
      <c r="A84" s="12" t="n"/>
      <c r="B84" s="12" t="n"/>
      <c r="C84" s="12" t="n"/>
      <c r="D84" s="12" t="n"/>
      <c r="E84" s="13" t="n"/>
      <c r="F84" s="20" t="n"/>
      <c r="G84" s="12" t="n"/>
      <c r="H84" s="12" t="n"/>
      <c r="I84" s="16">
        <f>IF(E84="","",EDATE(E84,12))</f>
        <v/>
      </c>
    </row>
    <row r="85">
      <c r="A85" s="12" t="n"/>
      <c r="B85" s="12" t="n"/>
      <c r="C85" s="12" t="n"/>
      <c r="D85" s="12" t="n"/>
      <c r="E85" s="13" t="n"/>
      <c r="F85" s="20" t="n"/>
      <c r="G85" s="12" t="n"/>
      <c r="H85" s="12" t="n"/>
      <c r="I85" s="16">
        <f>IF(E85="","",EDATE(E85,12))</f>
        <v/>
      </c>
    </row>
    <row r="86">
      <c r="A86" s="12" t="n"/>
      <c r="B86" s="12" t="n"/>
      <c r="C86" s="12" t="n"/>
      <c r="D86" s="12" t="n"/>
      <c r="E86" s="13" t="n"/>
      <c r="F86" s="20" t="n"/>
      <c r="G86" s="12" t="n"/>
      <c r="H86" s="12" t="n"/>
      <c r="I86" s="16">
        <f>IF(E86="","",EDATE(E86,12))</f>
        <v/>
      </c>
    </row>
    <row r="87">
      <c r="A87" s="12" t="n"/>
      <c r="B87" s="12" t="n"/>
      <c r="C87" s="12" t="n"/>
      <c r="D87" s="12" t="n"/>
      <c r="E87" s="13" t="n"/>
      <c r="F87" s="20" t="n"/>
      <c r="G87" s="12" t="n"/>
      <c r="H87" s="12" t="n"/>
      <c r="I87" s="16">
        <f>IF(E87="","",EDATE(E87,12))</f>
        <v/>
      </c>
    </row>
    <row r="88">
      <c r="A88" s="12" t="n"/>
      <c r="B88" s="12" t="n"/>
      <c r="C88" s="12" t="n"/>
      <c r="D88" s="12" t="n"/>
      <c r="E88" s="13" t="n"/>
      <c r="F88" s="20" t="n"/>
      <c r="G88" s="12" t="n"/>
      <c r="H88" s="12" t="n"/>
      <c r="I88" s="16">
        <f>IF(E88="","",EDATE(E88,12))</f>
        <v/>
      </c>
    </row>
    <row r="89">
      <c r="A89" s="12" t="n"/>
      <c r="B89" s="12" t="n"/>
      <c r="C89" s="12" t="n"/>
      <c r="D89" s="12" t="n"/>
      <c r="E89" s="13" t="n"/>
      <c r="F89" s="20" t="n"/>
      <c r="G89" s="12" t="n"/>
      <c r="H89" s="12" t="n"/>
      <c r="I89" s="16">
        <f>IF(E89="","",EDATE(E89,12))</f>
        <v/>
      </c>
    </row>
    <row r="90">
      <c r="A90" s="12" t="n"/>
      <c r="B90" s="12" t="n"/>
      <c r="C90" s="12" t="n"/>
      <c r="D90" s="12" t="n"/>
      <c r="E90" s="13" t="n"/>
      <c r="F90" s="20" t="n"/>
      <c r="G90" s="12" t="n"/>
      <c r="H90" s="12" t="n"/>
      <c r="I90" s="16">
        <f>IF(E90="","",EDATE(E90,12))</f>
        <v/>
      </c>
    </row>
    <row r="91">
      <c r="A91" s="12" t="n"/>
      <c r="B91" s="12" t="n"/>
      <c r="C91" s="12" t="n"/>
      <c r="D91" s="12" t="n"/>
      <c r="E91" s="13" t="n"/>
      <c r="F91" s="20" t="n"/>
      <c r="G91" s="12" t="n"/>
      <c r="H91" s="12" t="n"/>
      <c r="I91" s="16">
        <f>IF(E91="","",EDATE(E91,12))</f>
        <v/>
      </c>
    </row>
    <row r="92">
      <c r="A92" s="12" t="n"/>
      <c r="B92" s="12" t="n"/>
      <c r="C92" s="12" t="n"/>
      <c r="D92" s="12" t="n"/>
      <c r="E92" s="13" t="n"/>
      <c r="F92" s="20" t="n"/>
      <c r="G92" s="12" t="n"/>
      <c r="H92" s="12" t="n"/>
      <c r="I92" s="16">
        <f>IF(E92="","",EDATE(E92,12))</f>
        <v/>
      </c>
    </row>
    <row r="93">
      <c r="A93" s="12" t="n"/>
      <c r="B93" s="12" t="n"/>
      <c r="C93" s="12" t="n"/>
      <c r="D93" s="12" t="n"/>
      <c r="E93" s="13" t="n"/>
      <c r="F93" s="20" t="n"/>
      <c r="G93" s="12" t="n"/>
      <c r="H93" s="12" t="n"/>
      <c r="I93" s="16">
        <f>IF(E93="","",EDATE(E93,12))</f>
        <v/>
      </c>
    </row>
    <row r="94">
      <c r="A94" s="12" t="n"/>
      <c r="B94" s="12" t="n"/>
      <c r="C94" s="12" t="n"/>
      <c r="D94" s="12" t="n"/>
      <c r="E94" s="13" t="n"/>
      <c r="F94" s="20" t="n"/>
      <c r="G94" s="12" t="n"/>
      <c r="H94" s="12" t="n"/>
      <c r="I94" s="16">
        <f>IF(E94="","",EDATE(E94,12))</f>
        <v/>
      </c>
    </row>
    <row r="95">
      <c r="A95" s="12" t="n"/>
      <c r="B95" s="12" t="n"/>
      <c r="C95" s="12" t="n"/>
      <c r="D95" s="12" t="n"/>
      <c r="E95" s="13" t="n"/>
      <c r="F95" s="20" t="n"/>
      <c r="G95" s="12" t="n"/>
      <c r="H95" s="12" t="n"/>
      <c r="I95" s="16">
        <f>IF(E95="","",EDATE(E95,12))</f>
        <v/>
      </c>
    </row>
    <row r="96">
      <c r="A96" s="12" t="n"/>
      <c r="B96" s="12" t="n"/>
      <c r="C96" s="12" t="n"/>
      <c r="D96" s="12" t="n"/>
      <c r="E96" s="13" t="n"/>
      <c r="F96" s="20" t="n"/>
      <c r="G96" s="12" t="n"/>
      <c r="H96" s="12" t="n"/>
      <c r="I96" s="16">
        <f>IF(E96="","",EDATE(E96,12))</f>
        <v/>
      </c>
    </row>
    <row r="97">
      <c r="A97" s="12" t="n"/>
      <c r="B97" s="12" t="n"/>
      <c r="C97" s="12" t="n"/>
      <c r="D97" s="12" t="n"/>
      <c r="E97" s="13" t="n"/>
      <c r="F97" s="20" t="n"/>
      <c r="G97" s="12" t="n"/>
      <c r="H97" s="12" t="n"/>
      <c r="I97" s="16">
        <f>IF(E97="","",EDATE(E97,12))</f>
        <v/>
      </c>
    </row>
    <row r="98">
      <c r="A98" s="12" t="n"/>
      <c r="B98" s="12" t="n"/>
      <c r="C98" s="12" t="n"/>
      <c r="D98" s="12" t="n"/>
      <c r="E98" s="13" t="n"/>
      <c r="F98" s="20" t="n"/>
      <c r="G98" s="12" t="n"/>
      <c r="H98" s="12" t="n"/>
      <c r="I98" s="16">
        <f>IF(E98="","",EDATE(E98,12))</f>
        <v/>
      </c>
    </row>
    <row r="99">
      <c r="A99" s="12" t="n"/>
      <c r="B99" s="12" t="n"/>
      <c r="C99" s="12" t="n"/>
      <c r="D99" s="12" t="n"/>
      <c r="E99" s="13" t="n"/>
      <c r="F99" s="20" t="n"/>
      <c r="G99" s="12" t="n"/>
      <c r="H99" s="12" t="n"/>
      <c r="I99" s="16">
        <f>IF(E99="","",EDATE(E99,12))</f>
        <v/>
      </c>
    </row>
    <row r="100">
      <c r="A100" s="12" t="n"/>
      <c r="B100" s="12" t="n"/>
      <c r="C100" s="12" t="n"/>
      <c r="D100" s="12" t="n"/>
      <c r="E100" s="13" t="n"/>
      <c r="F100" s="20" t="n"/>
      <c r="G100" s="12" t="n"/>
      <c r="H100" s="12" t="n"/>
      <c r="I100" s="16">
        <f>IF(E100="","",EDATE(E100,12))</f>
        <v/>
      </c>
    </row>
    <row r="101">
      <c r="A101" s="12" t="n"/>
      <c r="B101" s="12" t="n"/>
      <c r="C101" s="12" t="n"/>
      <c r="D101" s="12" t="n"/>
      <c r="E101" s="13" t="n"/>
      <c r="F101" s="20" t="n"/>
      <c r="G101" s="12" t="n"/>
      <c r="H101" s="12" t="n"/>
      <c r="I101" s="16">
        <f>IF(E101="","",EDATE(E101,12))</f>
        <v/>
      </c>
    </row>
    <row r="102">
      <c r="A102" s="12" t="n"/>
      <c r="B102" s="12" t="n"/>
      <c r="C102" s="12" t="n"/>
      <c r="D102" s="12" t="n"/>
      <c r="E102" s="13" t="n"/>
      <c r="F102" s="20" t="n"/>
      <c r="G102" s="12" t="n"/>
      <c r="H102" s="12" t="n"/>
      <c r="I102" s="16">
        <f>IF(E102="","",EDATE(E102,12))</f>
        <v/>
      </c>
    </row>
    <row r="103">
      <c r="A103" s="12" t="n"/>
      <c r="B103" s="12" t="n"/>
      <c r="C103" s="12" t="n"/>
      <c r="D103" s="12" t="n"/>
      <c r="E103" s="13" t="n"/>
      <c r="F103" s="20" t="n"/>
      <c r="G103" s="12" t="n"/>
      <c r="H103" s="12" t="n"/>
      <c r="I103" s="16">
        <f>IF(E103="","",EDATE(E103,12))</f>
        <v/>
      </c>
    </row>
    <row r="104">
      <c r="A104" s="12" t="n"/>
      <c r="B104" s="12" t="n"/>
      <c r="C104" s="12" t="n"/>
      <c r="D104" s="12" t="n"/>
      <c r="E104" s="13" t="n"/>
      <c r="F104" s="20" t="n"/>
      <c r="G104" s="12" t="n"/>
      <c r="H104" s="12" t="n"/>
      <c r="I104" s="16">
        <f>IF(E104="","",EDATE(E104,12))</f>
        <v/>
      </c>
    </row>
    <row r="105">
      <c r="A105" s="12" t="n"/>
      <c r="B105" s="12" t="n"/>
      <c r="C105" s="12" t="n"/>
      <c r="D105" s="12" t="n"/>
      <c r="E105" s="13" t="n"/>
      <c r="F105" s="20" t="n"/>
      <c r="G105" s="12" t="n"/>
      <c r="H105" s="12" t="n"/>
      <c r="I105" s="16">
        <f>IF(E105="","",EDATE(E105,12))</f>
        <v/>
      </c>
    </row>
  </sheetData>
  <conditionalFormatting sqref="I6:I105">
    <cfRule type="expression" priority="1" dxfId="0">
      <formula>AND(I6&lt;&gt;"",I6&lt;=TODAY())</formula>
    </cfRule>
  </conditionalFormatting>
  <dataValidations count="1">
    <dataValidation sqref="C6:C105" showDropDown="0" showInputMessage="0" showErrorMessage="1" allowBlank="1" errorTitle="Valor no válido" error="Elige una opción de la lista." type="list">
      <formula1>"Básico,Intermedio,Avanzado"</formula1>
    </dataValidation>
  </dataValidations>
  <pageMargins left="0.75" right="0.75" top="1" bottom="1" header="0.5" footer="0.5"/>
  <pageSetup orientation="landscape" paperSize="9" fitToHeight="0" fitToWidth="1"/>
  <headerFooter>
    <oddHeader/>
    <oddFooter>&amp;L&amp;7 Vende más y trabaja menos · Jacob Ruiz</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2026-10-22T19:24:54Z</dcterms:created>
  <dcterms:modified xmlns:dcterms="http://purl.org/dc/terms/" xmlns:xsi="http://www.w3.org/2001/XMLSchema-instance" xsi:type="dcterms:W3CDTF">2026-10-22T19:24:55Z</dcterms:modified>
</cp:coreProperties>
</file>