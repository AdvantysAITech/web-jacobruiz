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Embudo" sheetId="2" state="visible" r:id="rId2"/>
    <sheet xmlns:r="http://schemas.openxmlformats.org/officeDocument/2006/relationships" name="Puntuación" sheetId="3" state="visible" r:id="rId3"/>
    <sheet xmlns:r="http://schemas.openxmlformats.org/officeDocument/2006/relationships" name="Oportunid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"/>
    <numFmt numFmtId="165" formatCode="0.0%"/>
    <numFmt numFmtId="166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8A5E00"/>
      <sz val="8"/>
    </font>
    <font>
      <name val="Arial"/>
      <b val="1"/>
      <color rgb="001F1F1F"/>
      <sz val="16"/>
    </font>
    <font>
      <name val="Arial"/>
      <color rgb="006B6B6B"/>
      <sz val="10"/>
    </font>
    <font>
      <name val="Arial"/>
      <b val="1"/>
      <sz val="11"/>
    </font>
    <font>
      <name val="Arial"/>
      <sz val="10"/>
    </font>
    <font>
      <name val="Arial"/>
      <b val="1"/>
      <color rgb="008A5E00"/>
      <sz val="9"/>
    </font>
    <font>
      <name val="Arial"/>
      <color rgb="006B6B6B"/>
      <sz val="8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color rgb="001F1F1F"/>
      <sz val="9"/>
    </font>
    <font>
      <name val="Arial"/>
      <i val="1"/>
      <color rgb="006B6B6B"/>
      <sz val="9"/>
    </font>
  </fonts>
  <fills count="5">
    <fill>
      <patternFill/>
    </fill>
    <fill>
      <patternFill patternType="gray125"/>
    </fill>
    <fill>
      <patternFill patternType="solid">
        <fgColor rgb="00FFF8E6"/>
      </patternFill>
    </fill>
    <fill>
      <patternFill patternType="solid">
        <fgColor rgb="001F1F1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thick">
        <color rgb="00E3A72F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3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10" fillId="2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10" fillId="2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top" wrapText="1"/>
    </xf>
    <xf numFmtId="164" fontId="10" fillId="0" borderId="2" applyAlignment="1" pivotButton="0" quotePrefix="0" xfId="0">
      <alignment horizontal="center" vertical="top" wrapText="1"/>
    </xf>
    <xf numFmtId="0" fontId="9" fillId="4" borderId="2" applyAlignment="1" pivotButton="0" quotePrefix="0" xfId="0">
      <alignment vertical="top" wrapText="1"/>
    </xf>
    <xf numFmtId="165" fontId="9" fillId="4" borderId="2" applyAlignment="1" pivotButton="0" quotePrefix="0" xfId="0">
      <alignment horizontal="center" vertical="top" wrapText="1"/>
    </xf>
    <xf numFmtId="0" fontId="11" fillId="4" borderId="2" applyAlignment="1" pivotButton="0" quotePrefix="0" xfId="0">
      <alignment vertical="top" wrapText="1"/>
    </xf>
    <xf numFmtId="164" fontId="10" fillId="2" borderId="2" applyAlignment="1" pivotButton="0" quotePrefix="0" xfId="0">
      <alignment horizontal="center" vertical="top" wrapText="1"/>
    </xf>
    <xf numFmtId="166" fontId="10" fillId="2" borderId="2" applyAlignment="1" pivotButton="0" quotePrefix="0" xfId="0">
      <alignment horizontal="center" vertical="top" wrapText="1"/>
    </xf>
    <xf numFmtId="166" fontId="10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1">
    <dxf>
      <fill>
        <patternFill patternType="solid">
          <fgColor rgb="00E3A72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CAPÍTULO 7 · MATERIAL PRÁCTICO</t>
        </is>
      </c>
      <c r="B1" s="2" t="n"/>
    </row>
    <row r="2" ht="24" customHeight="1">
      <c r="A2" s="3" t="inlineStr">
        <is>
          <t>El embudo de ventas</t>
        </is>
      </c>
    </row>
    <row r="3">
      <c r="A3" s="4" t="inlineStr">
        <is>
          <t>Material complementario de «Vende más y trabaja menos»</t>
        </is>
      </c>
    </row>
    <row r="6">
      <c r="A6" s="5" t="inlineStr">
        <is>
          <t>1. Embudo</t>
        </is>
      </c>
    </row>
    <row r="7" ht="30" customHeight="1">
      <c r="B7" s="6" t="inlineStr">
        <is>
          <t>Revisa las etapas y escribe el criterio de paso de cada una con tus palabras. Los criterios que verás son una propuesta: si cada comercial interpreta las etapas a su manera, el embudo no sirve para nada.</t>
        </is>
      </c>
    </row>
    <row r="8" ht="30" customHeight="1">
      <c r="B8" s="6" t="inlineStr">
        <is>
          <t>Configura en tu CRM los recordatorios y las alertas de cada etapa. Empieza por tres: llamar a los contactos nuevos el mismo día y llamar a los tres y a los siete días de enviar un presupuesto.</t>
        </is>
      </c>
    </row>
    <row r="10">
      <c r="A10" s="5" t="inlineStr">
        <is>
          <t>2. Puntuación de contactos</t>
        </is>
      </c>
    </row>
    <row r="11" ht="45" customHeight="1">
      <c r="B11" s="6" t="inlineStr">
        <is>
          <t>Los puntos de cada señal son orientativos: cámbialos en la hoja «Puntuación». En la tabla de contactos escribe cuántas veces ha hecho cada cosa; la hoja suma los puntos y marca como caliente a quien supera el umbral.</t>
        </is>
      </c>
    </row>
    <row r="12" ht="30" customHeight="1">
      <c r="B12" s="6" t="inlineStr">
        <is>
          <t>Revisa la puntuación cada pocos meses comparándola con las ventas reales: si los contactos con más puntos no son los que compran, ajusta los valores.</t>
        </is>
      </c>
    </row>
    <row r="14">
      <c r="A14" s="5" t="inlineStr">
        <is>
          <t>3. Oportunidades</t>
        </is>
      </c>
    </row>
    <row r="15" ht="45" customHeight="1">
      <c r="B15" s="6" t="inlineStr">
        <is>
          <t>Si todavía no tienes CRM, usa la hoja «Oportunidades» como registro. Escribe la fecha en que enviaste la propuesta y la hoja te da las fechas de las llamadas de los días 3 y 7. Arriba verás cuántas oportunidades y cuánto importe hay en cada etapa y tu tasa de cierre.</t>
        </is>
      </c>
    </row>
    <row r="17">
      <c r="A17" s="7" t="n"/>
      <c r="B17" s="8" t="inlineStr">
        <is>
          <t>Las celdas en amarillo claro son para rellenar. Las demás se calculan solas.</t>
        </is>
      </c>
    </row>
    <row r="19" ht="26" customHeight="1">
      <c r="B19" s="9" t="inlineStr">
        <is>
          <t>Material complementario del libro «Vende más y trabaja menos», de Jacob Ruiz. © 2026 Jacob Ruiz. Uso libre en tu empresa; no se permite su venta ni su distribución como material propio.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36" customWidth="1" min="3" max="3"/>
    <col width="34" customWidth="1" min="4" max="4"/>
    <col width="18" customWidth="1" min="5" max="5"/>
  </cols>
  <sheetData>
    <row r="1">
      <c r="A1" s="1" t="inlineStr">
        <is>
          <t>CAPÍTULO 7 · MATERIAL PRÁCTICO</t>
        </is>
      </c>
      <c r="B1" s="2" t="n"/>
      <c r="C1" s="2" t="n"/>
      <c r="D1" s="2" t="n"/>
      <c r="E1" s="2" t="n"/>
    </row>
    <row r="2" ht="24" customHeight="1">
      <c r="A2" s="3" t="inlineStr">
        <is>
          <t>Las etapas de tu embudo de ventas</t>
        </is>
      </c>
    </row>
    <row r="3">
      <c r="A3" s="4" t="inlineStr">
        <is>
          <t>Un criterio claro para pasar de una etapa a otra</t>
        </is>
      </c>
    </row>
    <row r="5" ht="30" customHeight="1">
      <c r="A5" s="10" t="inlineStr">
        <is>
          <t>Etapa</t>
        </is>
      </c>
      <c r="B5" s="10" t="inlineStr">
        <is>
          <t>Criterio para pasar a esta etapa (ajústalo)</t>
        </is>
      </c>
      <c r="C5" s="10" t="inlineStr">
        <is>
          <t>Recordatorio automático</t>
        </is>
      </c>
      <c r="D5" s="10" t="inlineStr">
        <is>
          <t>Alerta en tiempo real</t>
        </is>
      </c>
      <c r="E5" s="10" t="inlineStr">
        <is>
          <t>Responsable</t>
        </is>
      </c>
    </row>
    <row r="6" ht="32" customHeight="1">
      <c r="A6" s="11" t="inlineStr">
        <is>
          <t>Contacto nuevo</t>
        </is>
      </c>
      <c r="B6" s="12" t="inlineStr">
        <is>
          <t>Ha dejado sus datos o se ha puesto en contacto contigo</t>
        </is>
      </c>
      <c r="C6" s="12" t="inlineStr">
        <is>
          <t>Llamar el mismo día</t>
        </is>
      </c>
      <c r="D6" s="12" t="inlineStr">
        <is>
          <t>Ha pedido presupuesto o demostración</t>
        </is>
      </c>
      <c r="E6" s="12" t="n"/>
    </row>
    <row r="7" ht="32" customHeight="1">
      <c r="A7" s="11" t="inlineStr">
        <is>
          <t>Cualificado</t>
        </is>
      </c>
      <c r="B7" s="12" t="inlineStr">
        <is>
          <t>Sabes que tiene la necesidad, el presupuesto y la capacidad de decidir</t>
        </is>
      </c>
      <c r="C7" s="12" t="inlineStr">
        <is>
          <t>Enviar propuesta en un plazo de 48 horas</t>
        </is>
      </c>
      <c r="D7" s="12" t="inlineStr">
        <is>
          <t>Ha visitado la página de precios</t>
        </is>
      </c>
      <c r="E7" s="12" t="n"/>
    </row>
    <row r="8" ht="32" customHeight="1">
      <c r="A8" s="11" t="inlineStr">
        <is>
          <t>Propuesta enviada</t>
        </is>
      </c>
      <c r="B8" s="12" t="inlineStr">
        <is>
          <t>Ha recibido tu presupuesto o tu propuesta</t>
        </is>
      </c>
      <c r="C8" s="12" t="inlineStr">
        <is>
          <t>Llamar a los 3 días y otra vez a los 7</t>
        </is>
      </c>
      <c r="D8" s="12" t="inlineStr">
        <is>
          <t>Ha abierto la propuesta</t>
        </is>
      </c>
      <c r="E8" s="12" t="n"/>
    </row>
    <row r="9" ht="32" customHeight="1">
      <c r="A9" s="11" t="inlineStr">
        <is>
          <t>Negociación</t>
        </is>
      </c>
      <c r="B9" s="12" t="inlineStr">
        <is>
          <t>Ha respondido a la propuesta y estáis hablando de condiciones</t>
        </is>
      </c>
      <c r="C9" s="12" t="inlineStr">
        <is>
          <t>Revisar la oportunidad cada semana</t>
        </is>
      </c>
      <c r="D9" s="12" t="inlineStr">
        <is>
          <t>Ha respondido o ha pedido un cambio</t>
        </is>
      </c>
      <c r="E9" s="12" t="n"/>
    </row>
    <row r="10" ht="32" customHeight="1">
      <c r="A10" s="11" t="inlineStr">
        <is>
          <t>Ganada</t>
        </is>
      </c>
      <c r="B10" s="12" t="inlineStr">
        <is>
          <t>Ha aceptado la propuesta</t>
        </is>
      </c>
      <c r="C10" s="12" t="inlineStr">
        <is>
          <t>Pasar a posventa: bienvenida y encuesta</t>
        </is>
      </c>
      <c r="D10" s="12" t="inlineStr">
        <is>
          <t>—</t>
        </is>
      </c>
      <c r="E10" s="12" t="n"/>
    </row>
    <row r="11" ht="32" customHeight="1">
      <c r="A11" s="11" t="inlineStr">
        <is>
          <t>Perdida</t>
        </is>
      </c>
      <c r="B11" s="12" t="inlineStr">
        <is>
          <t>Ha dicho que no o ha dejado de responder</t>
        </is>
      </c>
      <c r="C11" s="12" t="inlineStr">
        <is>
          <t>Preguntar el motivo y volver a contactar en 6 meses</t>
        </is>
      </c>
      <c r="D11" s="12" t="inlineStr">
        <is>
          <t>Vuelve a visitar tu web</t>
        </is>
      </c>
      <c r="E11" s="12" t="n"/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8"/>
  <sheetViews>
    <sheetView showGridLines="0" workbookViewId="0">
      <pane xSplit="2" ySplit="18" topLeftCell="C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26" customWidth="1" min="11" max="11"/>
  </cols>
  <sheetData>
    <row r="1">
      <c r="A1" s="1" t="inlineStr">
        <is>
          <t>CAPÍTULO 7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Puntuación de contactos</t>
        </is>
      </c>
    </row>
    <row r="3">
      <c r="A3" s="4" t="inlineStr">
        <is>
          <t>Para que tu equipo sepa a quién llamar primero</t>
        </is>
      </c>
    </row>
    <row r="5" ht="30" customHeight="1">
      <c r="A5" s="10" t="inlineStr">
        <is>
          <t>Señal</t>
        </is>
      </c>
      <c r="B5" s="10" t="inlineStr">
        <is>
          <t>Puntos</t>
        </is>
      </c>
    </row>
    <row r="6">
      <c r="A6" s="13" t="inlineStr">
        <is>
          <t>Abre un correo</t>
        </is>
      </c>
      <c r="B6" s="14" t="n">
        <v>1</v>
      </c>
    </row>
    <row r="7">
      <c r="A7" s="13" t="inlineStr">
        <is>
          <t>Hace clic en un enlace</t>
        </is>
      </c>
      <c r="B7" s="14" t="n">
        <v>3</v>
      </c>
    </row>
    <row r="8">
      <c r="A8" s="13" t="inlineStr">
        <is>
          <t>Descarga una guía</t>
        </is>
      </c>
      <c r="B8" s="14" t="n">
        <v>5</v>
      </c>
    </row>
    <row r="9">
      <c r="A9" s="13" t="inlineStr">
        <is>
          <t>Visita la página de precios</t>
        </is>
      </c>
      <c r="B9" s="14" t="n">
        <v>10</v>
      </c>
    </row>
    <row r="10">
      <c r="A10" s="13" t="inlineStr">
        <is>
          <t>Pide una demostración o un presupuesto</t>
        </is>
      </c>
      <c r="B10" s="14" t="n">
        <v>25</v>
      </c>
    </row>
    <row r="11">
      <c r="A11" s="13" t="inlineStr">
        <is>
          <t>Encaja con tu perfil de cliente ideal</t>
        </is>
      </c>
      <c r="B11" s="14" t="n">
        <v>15</v>
      </c>
    </row>
    <row r="12">
      <c r="A12" s="13" t="inlineStr">
        <is>
          <t>Meses sin ninguna actividad</t>
        </is>
      </c>
      <c r="B12" s="14" t="n">
        <v>-10</v>
      </c>
    </row>
    <row r="14">
      <c r="A14" s="11" t="inlineStr">
        <is>
          <t>Umbral para considerarlo caliente</t>
        </is>
      </c>
      <c r="B14" s="14" t="n">
        <v>40</v>
      </c>
    </row>
    <row r="17">
      <c r="C17" s="15">
        <f>B6</f>
        <v/>
      </c>
      <c r="D17" s="15">
        <f>B7</f>
        <v/>
      </c>
      <c r="E17" s="15">
        <f>B8</f>
        <v/>
      </c>
      <c r="F17" s="15">
        <f>B9</f>
        <v/>
      </c>
      <c r="G17" s="15">
        <f>B10</f>
        <v/>
      </c>
      <c r="H17" s="15">
        <f>B11</f>
        <v/>
      </c>
      <c r="I17" s="15">
        <f>B12</f>
        <v/>
      </c>
    </row>
    <row r="18" ht="30" customHeight="1">
      <c r="A18" s="10" t="inlineStr">
        <is>
          <t>Contacto</t>
        </is>
      </c>
      <c r="B18" s="10" t="inlineStr">
        <is>
          <t>Empresa</t>
        </is>
      </c>
      <c r="C18" s="10" t="inlineStr">
        <is>
          <t>Abre un correo</t>
        </is>
      </c>
      <c r="D18" s="10" t="inlineStr">
        <is>
          <t>Hace clic en un enlace</t>
        </is>
      </c>
      <c r="E18" s="10" t="inlineStr">
        <is>
          <t>Descarga una guía</t>
        </is>
      </c>
      <c r="F18" s="10" t="inlineStr">
        <is>
          <t>Visita la página de precios</t>
        </is>
      </c>
      <c r="G18" s="10" t="inlineStr">
        <is>
          <t>Pide una demostración o un presupuesto</t>
        </is>
      </c>
      <c r="H18" s="10" t="inlineStr">
        <is>
          <t>Encaja con tu perfil de cliente ideal</t>
        </is>
      </c>
      <c r="I18" s="10" t="inlineStr">
        <is>
          <t>Meses sin ninguna actividad</t>
        </is>
      </c>
      <c r="J18" s="10" t="inlineStr">
        <is>
          <t>Puntos</t>
        </is>
      </c>
      <c r="K18" s="10" t="inlineStr">
        <is>
          <t>¿Qué hacer?</t>
        </is>
      </c>
    </row>
    <row r="19">
      <c r="A19" s="12" t="n"/>
      <c r="B19" s="12" t="n"/>
      <c r="C19" s="14" t="n"/>
      <c r="D19" s="14" t="n"/>
      <c r="E19" s="14" t="n"/>
      <c r="F19" s="14" t="n"/>
      <c r="G19" s="14" t="n"/>
      <c r="H19" s="14" t="n"/>
      <c r="I19" s="14" t="n"/>
      <c r="J19" s="16">
        <f>IF(COUNT(C19:I19)=0,"",SUMPRODUCT(C19:I19,$C$17:$I$17))</f>
        <v/>
      </c>
      <c r="K19" s="13">
        <f>IF(J19="","",IF(J19&gt;=$B$14,"Caliente: avisar al comercial",""))</f>
        <v/>
      </c>
    </row>
    <row r="20">
      <c r="A20" s="12" t="n"/>
      <c r="B20" s="12" t="n"/>
      <c r="C20" s="14" t="n"/>
      <c r="D20" s="14" t="n"/>
      <c r="E20" s="14" t="n"/>
      <c r="F20" s="14" t="n"/>
      <c r="G20" s="14" t="n"/>
      <c r="H20" s="14" t="n"/>
      <c r="I20" s="14" t="n"/>
      <c r="J20" s="16">
        <f>IF(COUNT(C20:I20)=0,"",SUMPRODUCT(C20:I20,$C$17:$I$17))</f>
        <v/>
      </c>
      <c r="K20" s="13">
        <f>IF(J20="","",IF(J20&gt;=$B$14,"Caliente: avisar al comercial",""))</f>
        <v/>
      </c>
    </row>
    <row r="21">
      <c r="A21" s="12" t="n"/>
      <c r="B21" s="12" t="n"/>
      <c r="C21" s="14" t="n"/>
      <c r="D21" s="14" t="n"/>
      <c r="E21" s="14" t="n"/>
      <c r="F21" s="14" t="n"/>
      <c r="G21" s="14" t="n"/>
      <c r="H21" s="14" t="n"/>
      <c r="I21" s="14" t="n"/>
      <c r="J21" s="16">
        <f>IF(COUNT(C21:I21)=0,"",SUMPRODUCT(C21:I21,$C$17:$I$17))</f>
        <v/>
      </c>
      <c r="K21" s="13">
        <f>IF(J21="","",IF(J21&gt;=$B$14,"Caliente: avisar al comercial",""))</f>
        <v/>
      </c>
    </row>
    <row r="22">
      <c r="A22" s="12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6">
        <f>IF(COUNT(C22:I22)=0,"",SUMPRODUCT(C22:I22,$C$17:$I$17))</f>
        <v/>
      </c>
      <c r="K22" s="13">
        <f>IF(J22="","",IF(J22&gt;=$B$14,"Caliente: avisar al comercial",""))</f>
        <v/>
      </c>
    </row>
    <row r="23">
      <c r="A23" s="12" t="n"/>
      <c r="B23" s="12" t="n"/>
      <c r="C23" s="14" t="n"/>
      <c r="D23" s="14" t="n"/>
      <c r="E23" s="14" t="n"/>
      <c r="F23" s="14" t="n"/>
      <c r="G23" s="14" t="n"/>
      <c r="H23" s="14" t="n"/>
      <c r="I23" s="14" t="n"/>
      <c r="J23" s="16">
        <f>IF(COUNT(C23:I23)=0,"",SUMPRODUCT(C23:I23,$C$17:$I$17))</f>
        <v/>
      </c>
      <c r="K23" s="13">
        <f>IF(J23="","",IF(J23&gt;=$B$14,"Caliente: avisar al comercial",""))</f>
        <v/>
      </c>
    </row>
    <row r="24">
      <c r="A24" s="12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6">
        <f>IF(COUNT(C24:I24)=0,"",SUMPRODUCT(C24:I24,$C$17:$I$17))</f>
        <v/>
      </c>
      <c r="K24" s="13">
        <f>IF(J24="","",IF(J24&gt;=$B$14,"Caliente: avisar al comercial",""))</f>
        <v/>
      </c>
    </row>
    <row r="25">
      <c r="A25" s="12" t="n"/>
      <c r="B25" s="12" t="n"/>
      <c r="C25" s="14" t="n"/>
      <c r="D25" s="14" t="n"/>
      <c r="E25" s="14" t="n"/>
      <c r="F25" s="14" t="n"/>
      <c r="G25" s="14" t="n"/>
      <c r="H25" s="14" t="n"/>
      <c r="I25" s="14" t="n"/>
      <c r="J25" s="16">
        <f>IF(COUNT(C25:I25)=0,"",SUMPRODUCT(C25:I25,$C$17:$I$17))</f>
        <v/>
      </c>
      <c r="K25" s="13">
        <f>IF(J25="","",IF(J25&gt;=$B$14,"Caliente: avisar al comercial",""))</f>
        <v/>
      </c>
    </row>
    <row r="26">
      <c r="A26" s="12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6">
        <f>IF(COUNT(C26:I26)=0,"",SUMPRODUCT(C26:I26,$C$17:$I$17))</f>
        <v/>
      </c>
      <c r="K26" s="13">
        <f>IF(J26="","",IF(J26&gt;=$B$14,"Caliente: avisar al comercial",""))</f>
        <v/>
      </c>
    </row>
    <row r="27">
      <c r="A27" s="12" t="n"/>
      <c r="B27" s="12" t="n"/>
      <c r="C27" s="14" t="n"/>
      <c r="D27" s="14" t="n"/>
      <c r="E27" s="14" t="n"/>
      <c r="F27" s="14" t="n"/>
      <c r="G27" s="14" t="n"/>
      <c r="H27" s="14" t="n"/>
      <c r="I27" s="14" t="n"/>
      <c r="J27" s="16">
        <f>IF(COUNT(C27:I27)=0,"",SUMPRODUCT(C27:I27,$C$17:$I$17))</f>
        <v/>
      </c>
      <c r="K27" s="13">
        <f>IF(J27="","",IF(J27&gt;=$B$14,"Caliente: avisar al comercial",""))</f>
        <v/>
      </c>
    </row>
    <row r="28">
      <c r="A28" s="12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6">
        <f>IF(COUNT(C28:I28)=0,"",SUMPRODUCT(C28:I28,$C$17:$I$17))</f>
        <v/>
      </c>
      <c r="K28" s="13">
        <f>IF(J28="","",IF(J28&gt;=$B$14,"Caliente: avisar al comercial",""))</f>
        <v/>
      </c>
    </row>
    <row r="29">
      <c r="A29" s="12" t="n"/>
      <c r="B29" s="12" t="n"/>
      <c r="C29" s="14" t="n"/>
      <c r="D29" s="14" t="n"/>
      <c r="E29" s="14" t="n"/>
      <c r="F29" s="14" t="n"/>
      <c r="G29" s="14" t="n"/>
      <c r="H29" s="14" t="n"/>
      <c r="I29" s="14" t="n"/>
      <c r="J29" s="16">
        <f>IF(COUNT(C29:I29)=0,"",SUMPRODUCT(C29:I29,$C$17:$I$17))</f>
        <v/>
      </c>
      <c r="K29" s="13">
        <f>IF(J29="","",IF(J29&gt;=$B$14,"Caliente: avisar al comercial",""))</f>
        <v/>
      </c>
    </row>
    <row r="30">
      <c r="A30" s="12" t="n"/>
      <c r="B30" s="12" t="n"/>
      <c r="C30" s="14" t="n"/>
      <c r="D30" s="14" t="n"/>
      <c r="E30" s="14" t="n"/>
      <c r="F30" s="14" t="n"/>
      <c r="G30" s="14" t="n"/>
      <c r="H30" s="14" t="n"/>
      <c r="I30" s="14" t="n"/>
      <c r="J30" s="16">
        <f>IF(COUNT(C30:I30)=0,"",SUMPRODUCT(C30:I30,$C$17:$I$17))</f>
        <v/>
      </c>
      <c r="K30" s="13">
        <f>IF(J30="","",IF(J30&gt;=$B$14,"Caliente: avisar al comercial",""))</f>
        <v/>
      </c>
    </row>
    <row r="31">
      <c r="A31" s="12" t="n"/>
      <c r="B31" s="12" t="n"/>
      <c r="C31" s="14" t="n"/>
      <c r="D31" s="14" t="n"/>
      <c r="E31" s="14" t="n"/>
      <c r="F31" s="14" t="n"/>
      <c r="G31" s="14" t="n"/>
      <c r="H31" s="14" t="n"/>
      <c r="I31" s="14" t="n"/>
      <c r="J31" s="16">
        <f>IF(COUNT(C31:I31)=0,"",SUMPRODUCT(C31:I31,$C$17:$I$17))</f>
        <v/>
      </c>
      <c r="K31" s="13">
        <f>IF(J31="","",IF(J31&gt;=$B$14,"Caliente: avisar al comercial",""))</f>
        <v/>
      </c>
    </row>
    <row r="32">
      <c r="A32" s="12" t="n"/>
      <c r="B32" s="12" t="n"/>
      <c r="C32" s="14" t="n"/>
      <c r="D32" s="14" t="n"/>
      <c r="E32" s="14" t="n"/>
      <c r="F32" s="14" t="n"/>
      <c r="G32" s="14" t="n"/>
      <c r="H32" s="14" t="n"/>
      <c r="I32" s="14" t="n"/>
      <c r="J32" s="16">
        <f>IF(COUNT(C32:I32)=0,"",SUMPRODUCT(C32:I32,$C$17:$I$17))</f>
        <v/>
      </c>
      <c r="K32" s="13">
        <f>IF(J32="","",IF(J32&gt;=$B$14,"Caliente: avisar al comercial",""))</f>
        <v/>
      </c>
    </row>
    <row r="33">
      <c r="A33" s="12" t="n"/>
      <c r="B33" s="12" t="n"/>
      <c r="C33" s="14" t="n"/>
      <c r="D33" s="14" t="n"/>
      <c r="E33" s="14" t="n"/>
      <c r="F33" s="14" t="n"/>
      <c r="G33" s="14" t="n"/>
      <c r="H33" s="14" t="n"/>
      <c r="I33" s="14" t="n"/>
      <c r="J33" s="16">
        <f>IF(COUNT(C33:I33)=0,"",SUMPRODUCT(C33:I33,$C$17:$I$17))</f>
        <v/>
      </c>
      <c r="K33" s="13">
        <f>IF(J33="","",IF(J33&gt;=$B$14,"Caliente: avisar al comercial",""))</f>
        <v/>
      </c>
    </row>
    <row r="34">
      <c r="A34" s="12" t="n"/>
      <c r="B34" s="12" t="n"/>
      <c r="C34" s="14" t="n"/>
      <c r="D34" s="14" t="n"/>
      <c r="E34" s="14" t="n"/>
      <c r="F34" s="14" t="n"/>
      <c r="G34" s="14" t="n"/>
      <c r="H34" s="14" t="n"/>
      <c r="I34" s="14" t="n"/>
      <c r="J34" s="16">
        <f>IF(COUNT(C34:I34)=0,"",SUMPRODUCT(C34:I34,$C$17:$I$17))</f>
        <v/>
      </c>
      <c r="K34" s="13">
        <f>IF(J34="","",IF(J34&gt;=$B$14,"Caliente: avisar al comercial",""))</f>
        <v/>
      </c>
    </row>
    <row r="35">
      <c r="A35" s="12" t="n"/>
      <c r="B35" s="12" t="n"/>
      <c r="C35" s="14" t="n"/>
      <c r="D35" s="14" t="n"/>
      <c r="E35" s="14" t="n"/>
      <c r="F35" s="14" t="n"/>
      <c r="G35" s="14" t="n"/>
      <c r="H35" s="14" t="n"/>
      <c r="I35" s="14" t="n"/>
      <c r="J35" s="16">
        <f>IF(COUNT(C35:I35)=0,"",SUMPRODUCT(C35:I35,$C$17:$I$17))</f>
        <v/>
      </c>
      <c r="K35" s="13">
        <f>IF(J35="","",IF(J35&gt;=$B$14,"Caliente: avisar al comercial",""))</f>
        <v/>
      </c>
    </row>
    <row r="36">
      <c r="A36" s="12" t="n"/>
      <c r="B36" s="12" t="n"/>
      <c r="C36" s="14" t="n"/>
      <c r="D36" s="14" t="n"/>
      <c r="E36" s="14" t="n"/>
      <c r="F36" s="14" t="n"/>
      <c r="G36" s="14" t="n"/>
      <c r="H36" s="14" t="n"/>
      <c r="I36" s="14" t="n"/>
      <c r="J36" s="16">
        <f>IF(COUNT(C36:I36)=0,"",SUMPRODUCT(C36:I36,$C$17:$I$17))</f>
        <v/>
      </c>
      <c r="K36" s="13">
        <f>IF(J36="","",IF(J36&gt;=$B$14,"Caliente: avisar al comercial",""))</f>
        <v/>
      </c>
    </row>
    <row r="37">
      <c r="A37" s="12" t="n"/>
      <c r="B37" s="12" t="n"/>
      <c r="C37" s="14" t="n"/>
      <c r="D37" s="14" t="n"/>
      <c r="E37" s="14" t="n"/>
      <c r="F37" s="14" t="n"/>
      <c r="G37" s="14" t="n"/>
      <c r="H37" s="14" t="n"/>
      <c r="I37" s="14" t="n"/>
      <c r="J37" s="16">
        <f>IF(COUNT(C37:I37)=0,"",SUMPRODUCT(C37:I37,$C$17:$I$17))</f>
        <v/>
      </c>
      <c r="K37" s="13">
        <f>IF(J37="","",IF(J37&gt;=$B$14,"Caliente: avisar al comercial",""))</f>
        <v/>
      </c>
    </row>
    <row r="38">
      <c r="A38" s="12" t="n"/>
      <c r="B38" s="12" t="n"/>
      <c r="C38" s="14" t="n"/>
      <c r="D38" s="14" t="n"/>
      <c r="E38" s="14" t="n"/>
      <c r="F38" s="14" t="n"/>
      <c r="G38" s="14" t="n"/>
      <c r="H38" s="14" t="n"/>
      <c r="I38" s="14" t="n"/>
      <c r="J38" s="16">
        <f>IF(COUNT(C38:I38)=0,"",SUMPRODUCT(C38:I38,$C$17:$I$17))</f>
        <v/>
      </c>
      <c r="K38" s="13">
        <f>IF(J38="","",IF(J38&gt;=$B$14,"Caliente: avisar al comercial",""))</f>
        <v/>
      </c>
    </row>
    <row r="39">
      <c r="A39" s="12" t="n"/>
      <c r="B39" s="12" t="n"/>
      <c r="C39" s="14" t="n"/>
      <c r="D39" s="14" t="n"/>
      <c r="E39" s="14" t="n"/>
      <c r="F39" s="14" t="n"/>
      <c r="G39" s="14" t="n"/>
      <c r="H39" s="14" t="n"/>
      <c r="I39" s="14" t="n"/>
      <c r="J39" s="16">
        <f>IF(COUNT(C39:I39)=0,"",SUMPRODUCT(C39:I39,$C$17:$I$17))</f>
        <v/>
      </c>
      <c r="K39" s="13">
        <f>IF(J39="","",IF(J39&gt;=$B$14,"Caliente: avisar al comercial",""))</f>
        <v/>
      </c>
    </row>
    <row r="40">
      <c r="A40" s="12" t="n"/>
      <c r="B40" s="12" t="n"/>
      <c r="C40" s="14" t="n"/>
      <c r="D40" s="14" t="n"/>
      <c r="E40" s="14" t="n"/>
      <c r="F40" s="14" t="n"/>
      <c r="G40" s="14" t="n"/>
      <c r="H40" s="14" t="n"/>
      <c r="I40" s="14" t="n"/>
      <c r="J40" s="16">
        <f>IF(COUNT(C40:I40)=0,"",SUMPRODUCT(C40:I40,$C$17:$I$17))</f>
        <v/>
      </c>
      <c r="K40" s="13">
        <f>IF(J40="","",IF(J40&gt;=$B$14,"Caliente: avisar al comercial",""))</f>
        <v/>
      </c>
    </row>
    <row r="41">
      <c r="A41" s="12" t="n"/>
      <c r="B41" s="12" t="n"/>
      <c r="C41" s="14" t="n"/>
      <c r="D41" s="14" t="n"/>
      <c r="E41" s="14" t="n"/>
      <c r="F41" s="14" t="n"/>
      <c r="G41" s="14" t="n"/>
      <c r="H41" s="14" t="n"/>
      <c r="I41" s="14" t="n"/>
      <c r="J41" s="16">
        <f>IF(COUNT(C41:I41)=0,"",SUMPRODUCT(C41:I41,$C$17:$I$17))</f>
        <v/>
      </c>
      <c r="K41" s="13">
        <f>IF(J41="","",IF(J41&gt;=$B$14,"Caliente: avisar al comercial",""))</f>
        <v/>
      </c>
    </row>
    <row r="42">
      <c r="A42" s="12" t="n"/>
      <c r="B42" s="12" t="n"/>
      <c r="C42" s="14" t="n"/>
      <c r="D42" s="14" t="n"/>
      <c r="E42" s="14" t="n"/>
      <c r="F42" s="14" t="n"/>
      <c r="G42" s="14" t="n"/>
      <c r="H42" s="14" t="n"/>
      <c r="I42" s="14" t="n"/>
      <c r="J42" s="16">
        <f>IF(COUNT(C42:I42)=0,"",SUMPRODUCT(C42:I42,$C$17:$I$17))</f>
        <v/>
      </c>
      <c r="K42" s="13">
        <f>IF(J42="","",IF(J42&gt;=$B$14,"Caliente: avisar al comercial",""))</f>
        <v/>
      </c>
    </row>
    <row r="43">
      <c r="A43" s="12" t="n"/>
      <c r="B43" s="12" t="n"/>
      <c r="C43" s="14" t="n"/>
      <c r="D43" s="14" t="n"/>
      <c r="E43" s="14" t="n"/>
      <c r="F43" s="14" t="n"/>
      <c r="G43" s="14" t="n"/>
      <c r="H43" s="14" t="n"/>
      <c r="I43" s="14" t="n"/>
      <c r="J43" s="16">
        <f>IF(COUNT(C43:I43)=0,"",SUMPRODUCT(C43:I43,$C$17:$I$17))</f>
        <v/>
      </c>
      <c r="K43" s="13">
        <f>IF(J43="","",IF(J43&gt;=$B$14,"Caliente: avisar al comercial",""))</f>
        <v/>
      </c>
    </row>
    <row r="44">
      <c r="A44" s="12" t="n"/>
      <c r="B44" s="12" t="n"/>
      <c r="C44" s="14" t="n"/>
      <c r="D44" s="14" t="n"/>
      <c r="E44" s="14" t="n"/>
      <c r="F44" s="14" t="n"/>
      <c r="G44" s="14" t="n"/>
      <c r="H44" s="14" t="n"/>
      <c r="I44" s="14" t="n"/>
      <c r="J44" s="16">
        <f>IF(COUNT(C44:I44)=0,"",SUMPRODUCT(C44:I44,$C$17:$I$17))</f>
        <v/>
      </c>
      <c r="K44" s="13">
        <f>IF(J44="","",IF(J44&gt;=$B$14,"Caliente: avisar al comercial",""))</f>
        <v/>
      </c>
    </row>
    <row r="45">
      <c r="A45" s="12" t="n"/>
      <c r="B45" s="12" t="n"/>
      <c r="C45" s="14" t="n"/>
      <c r="D45" s="14" t="n"/>
      <c r="E45" s="14" t="n"/>
      <c r="F45" s="14" t="n"/>
      <c r="G45" s="14" t="n"/>
      <c r="H45" s="14" t="n"/>
      <c r="I45" s="14" t="n"/>
      <c r="J45" s="16">
        <f>IF(COUNT(C45:I45)=0,"",SUMPRODUCT(C45:I45,$C$17:$I$17))</f>
        <v/>
      </c>
      <c r="K45" s="13">
        <f>IF(J45="","",IF(J45&gt;=$B$14,"Caliente: avisar al comercial",""))</f>
        <v/>
      </c>
    </row>
    <row r="46">
      <c r="A46" s="12" t="n"/>
      <c r="B46" s="12" t="n"/>
      <c r="C46" s="14" t="n"/>
      <c r="D46" s="14" t="n"/>
      <c r="E46" s="14" t="n"/>
      <c r="F46" s="14" t="n"/>
      <c r="G46" s="14" t="n"/>
      <c r="H46" s="14" t="n"/>
      <c r="I46" s="14" t="n"/>
      <c r="J46" s="16">
        <f>IF(COUNT(C46:I46)=0,"",SUMPRODUCT(C46:I46,$C$17:$I$17))</f>
        <v/>
      </c>
      <c r="K46" s="13">
        <f>IF(J46="","",IF(J46&gt;=$B$14,"Caliente: avisar al comercial",""))</f>
        <v/>
      </c>
    </row>
    <row r="47">
      <c r="A47" s="12" t="n"/>
      <c r="B47" s="12" t="n"/>
      <c r="C47" s="14" t="n"/>
      <c r="D47" s="14" t="n"/>
      <c r="E47" s="14" t="n"/>
      <c r="F47" s="14" t="n"/>
      <c r="G47" s="14" t="n"/>
      <c r="H47" s="14" t="n"/>
      <c r="I47" s="14" t="n"/>
      <c r="J47" s="16">
        <f>IF(COUNT(C47:I47)=0,"",SUMPRODUCT(C47:I47,$C$17:$I$17))</f>
        <v/>
      </c>
      <c r="K47" s="13">
        <f>IF(J47="","",IF(J47&gt;=$B$14,"Caliente: avisar al comercial",""))</f>
        <v/>
      </c>
    </row>
    <row r="48">
      <c r="A48" s="12" t="n"/>
      <c r="B48" s="12" t="n"/>
      <c r="C48" s="14" t="n"/>
      <c r="D48" s="14" t="n"/>
      <c r="E48" s="14" t="n"/>
      <c r="F48" s="14" t="n"/>
      <c r="G48" s="14" t="n"/>
      <c r="H48" s="14" t="n"/>
      <c r="I48" s="14" t="n"/>
      <c r="J48" s="16">
        <f>IF(COUNT(C48:I48)=0,"",SUMPRODUCT(C48:I48,$C$17:$I$17))</f>
        <v/>
      </c>
      <c r="K48" s="13">
        <f>IF(J48="","",IF(J48&gt;=$B$14,"Caliente: avisar al comercial",""))</f>
        <v/>
      </c>
    </row>
    <row r="49">
      <c r="A49" s="12" t="n"/>
      <c r="B49" s="12" t="n"/>
      <c r="C49" s="14" t="n"/>
      <c r="D49" s="14" t="n"/>
      <c r="E49" s="14" t="n"/>
      <c r="F49" s="14" t="n"/>
      <c r="G49" s="14" t="n"/>
      <c r="H49" s="14" t="n"/>
      <c r="I49" s="14" t="n"/>
      <c r="J49" s="16">
        <f>IF(COUNT(C49:I49)=0,"",SUMPRODUCT(C49:I49,$C$17:$I$17))</f>
        <v/>
      </c>
      <c r="K49" s="13">
        <f>IF(J49="","",IF(J49&gt;=$B$14,"Caliente: avisar al comercial",""))</f>
        <v/>
      </c>
    </row>
    <row r="50">
      <c r="A50" s="12" t="n"/>
      <c r="B50" s="12" t="n"/>
      <c r="C50" s="14" t="n"/>
      <c r="D50" s="14" t="n"/>
      <c r="E50" s="14" t="n"/>
      <c r="F50" s="14" t="n"/>
      <c r="G50" s="14" t="n"/>
      <c r="H50" s="14" t="n"/>
      <c r="I50" s="14" t="n"/>
      <c r="J50" s="16">
        <f>IF(COUNT(C50:I50)=0,"",SUMPRODUCT(C50:I50,$C$17:$I$17))</f>
        <v/>
      </c>
      <c r="K50" s="13">
        <f>IF(J50="","",IF(J50&gt;=$B$14,"Caliente: avisar al comercial",""))</f>
        <v/>
      </c>
    </row>
    <row r="51">
      <c r="A51" s="12" t="n"/>
      <c r="B51" s="12" t="n"/>
      <c r="C51" s="14" t="n"/>
      <c r="D51" s="14" t="n"/>
      <c r="E51" s="14" t="n"/>
      <c r="F51" s="14" t="n"/>
      <c r="G51" s="14" t="n"/>
      <c r="H51" s="14" t="n"/>
      <c r="I51" s="14" t="n"/>
      <c r="J51" s="16">
        <f>IF(COUNT(C51:I51)=0,"",SUMPRODUCT(C51:I51,$C$17:$I$17))</f>
        <v/>
      </c>
      <c r="K51" s="13">
        <f>IF(J51="","",IF(J51&gt;=$B$14,"Caliente: avisar al comercial",""))</f>
        <v/>
      </c>
    </row>
    <row r="52">
      <c r="A52" s="12" t="n"/>
      <c r="B52" s="12" t="n"/>
      <c r="C52" s="14" t="n"/>
      <c r="D52" s="14" t="n"/>
      <c r="E52" s="14" t="n"/>
      <c r="F52" s="14" t="n"/>
      <c r="G52" s="14" t="n"/>
      <c r="H52" s="14" t="n"/>
      <c r="I52" s="14" t="n"/>
      <c r="J52" s="16">
        <f>IF(COUNT(C52:I52)=0,"",SUMPRODUCT(C52:I52,$C$17:$I$17))</f>
        <v/>
      </c>
      <c r="K52" s="13">
        <f>IF(J52="","",IF(J52&gt;=$B$14,"Caliente: avisar al comercial",""))</f>
        <v/>
      </c>
    </row>
    <row r="53">
      <c r="A53" s="12" t="n"/>
      <c r="B53" s="12" t="n"/>
      <c r="C53" s="14" t="n"/>
      <c r="D53" s="14" t="n"/>
      <c r="E53" s="14" t="n"/>
      <c r="F53" s="14" t="n"/>
      <c r="G53" s="14" t="n"/>
      <c r="H53" s="14" t="n"/>
      <c r="I53" s="14" t="n"/>
      <c r="J53" s="16">
        <f>IF(COUNT(C53:I53)=0,"",SUMPRODUCT(C53:I53,$C$17:$I$17))</f>
        <v/>
      </c>
      <c r="K53" s="13">
        <f>IF(J53="","",IF(J53&gt;=$B$14,"Caliente: avisar al comercial",""))</f>
        <v/>
      </c>
    </row>
    <row r="54">
      <c r="A54" s="12" t="n"/>
      <c r="B54" s="12" t="n"/>
      <c r="C54" s="14" t="n"/>
      <c r="D54" s="14" t="n"/>
      <c r="E54" s="14" t="n"/>
      <c r="F54" s="14" t="n"/>
      <c r="G54" s="14" t="n"/>
      <c r="H54" s="14" t="n"/>
      <c r="I54" s="14" t="n"/>
      <c r="J54" s="16">
        <f>IF(COUNT(C54:I54)=0,"",SUMPRODUCT(C54:I54,$C$17:$I$17))</f>
        <v/>
      </c>
      <c r="K54" s="13">
        <f>IF(J54="","",IF(J54&gt;=$B$14,"Caliente: avisar al comercial",""))</f>
        <v/>
      </c>
    </row>
    <row r="55">
      <c r="A55" s="12" t="n"/>
      <c r="B55" s="12" t="n"/>
      <c r="C55" s="14" t="n"/>
      <c r="D55" s="14" t="n"/>
      <c r="E55" s="14" t="n"/>
      <c r="F55" s="14" t="n"/>
      <c r="G55" s="14" t="n"/>
      <c r="H55" s="14" t="n"/>
      <c r="I55" s="14" t="n"/>
      <c r="J55" s="16">
        <f>IF(COUNT(C55:I55)=0,"",SUMPRODUCT(C55:I55,$C$17:$I$17))</f>
        <v/>
      </c>
      <c r="K55" s="13">
        <f>IF(J55="","",IF(J55&gt;=$B$14,"Caliente: avisar al comercial",""))</f>
        <v/>
      </c>
    </row>
    <row r="56">
      <c r="A56" s="12" t="n"/>
      <c r="B56" s="12" t="n"/>
      <c r="C56" s="14" t="n"/>
      <c r="D56" s="14" t="n"/>
      <c r="E56" s="14" t="n"/>
      <c r="F56" s="14" t="n"/>
      <c r="G56" s="14" t="n"/>
      <c r="H56" s="14" t="n"/>
      <c r="I56" s="14" t="n"/>
      <c r="J56" s="16">
        <f>IF(COUNT(C56:I56)=0,"",SUMPRODUCT(C56:I56,$C$17:$I$17))</f>
        <v/>
      </c>
      <c r="K56" s="13">
        <f>IF(J56="","",IF(J56&gt;=$B$14,"Caliente: avisar al comercial",""))</f>
        <v/>
      </c>
    </row>
    <row r="57">
      <c r="A57" s="12" t="n"/>
      <c r="B57" s="12" t="n"/>
      <c r="C57" s="14" t="n"/>
      <c r="D57" s="14" t="n"/>
      <c r="E57" s="14" t="n"/>
      <c r="F57" s="14" t="n"/>
      <c r="G57" s="14" t="n"/>
      <c r="H57" s="14" t="n"/>
      <c r="I57" s="14" t="n"/>
      <c r="J57" s="16">
        <f>IF(COUNT(C57:I57)=0,"",SUMPRODUCT(C57:I57,$C$17:$I$17))</f>
        <v/>
      </c>
      <c r="K57" s="13">
        <f>IF(J57="","",IF(J57&gt;=$B$14,"Caliente: avisar al comercial",""))</f>
        <v/>
      </c>
    </row>
    <row r="58">
      <c r="A58" s="12" t="n"/>
      <c r="B58" s="12" t="n"/>
      <c r="C58" s="14" t="n"/>
      <c r="D58" s="14" t="n"/>
      <c r="E58" s="14" t="n"/>
      <c r="F58" s="14" t="n"/>
      <c r="G58" s="14" t="n"/>
      <c r="H58" s="14" t="n"/>
      <c r="I58" s="14" t="n"/>
      <c r="J58" s="16">
        <f>IF(COUNT(C58:I58)=0,"",SUMPRODUCT(C58:I58,$C$17:$I$17))</f>
        <v/>
      </c>
      <c r="K58" s="13">
        <f>IF(J58="","",IF(J58&gt;=$B$14,"Caliente: avisar al comercial",""))</f>
        <v/>
      </c>
    </row>
  </sheetData>
  <conditionalFormatting sqref="K19:K58">
    <cfRule type="cellIs" priority="1" operator="equal" dxfId="0">
      <formula>"Caliente: avisar al comercial"</formula>
    </cfRule>
  </conditionalFormatting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15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7" customWidth="1" min="4" max="4"/>
    <col width="13" customWidth="1" min="5" max="5"/>
    <col width="14" customWidth="1" min="6" max="6"/>
    <col width="13" customWidth="1" min="7" max="7"/>
    <col width="13" customWidth="1" min="8" max="8"/>
    <col width="30" customWidth="1" min="9" max="9"/>
    <col width="15" customWidth="1" min="10" max="10"/>
    <col width="22" customWidth="1" min="11" max="11"/>
    <col width="14" customWidth="1" min="12" max="12"/>
  </cols>
  <sheetData>
    <row r="1">
      <c r="A1" s="1" t="inlineStr">
        <is>
          <t>CAPÍTULO 7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4" customHeight="1">
      <c r="A2" s="3" t="inlineStr">
        <is>
          <t>Registro de oportunidades</t>
        </is>
      </c>
    </row>
    <row r="3">
      <c r="A3" s="4" t="inlineStr">
        <is>
          <t>Si aún no tienes CRM, empieza aquí</t>
        </is>
      </c>
    </row>
    <row r="5" ht="30" customHeight="1">
      <c r="A5" s="10" t="inlineStr">
        <is>
          <t>Etapa</t>
        </is>
      </c>
      <c r="B5" s="10" t="inlineStr">
        <is>
          <t>N.º de oportunidades</t>
        </is>
      </c>
      <c r="C5" s="10" t="inlineStr">
        <is>
          <t>Importe (€)</t>
        </is>
      </c>
    </row>
    <row r="6">
      <c r="A6" s="11" t="inlineStr">
        <is>
          <t>Contacto nuevo</t>
        </is>
      </c>
      <c r="B6" s="17">
        <f>COUNTIF($D$16:$D$215,A6)</f>
        <v/>
      </c>
      <c r="C6" s="18">
        <f>SUMIF($D$16:$D$215,A6,$C$16:$C$215)</f>
        <v/>
      </c>
    </row>
    <row r="7">
      <c r="A7" s="11" t="inlineStr">
        <is>
          <t>Cualificado</t>
        </is>
      </c>
      <c r="B7" s="17">
        <f>COUNTIF($D$16:$D$215,A7)</f>
        <v/>
      </c>
      <c r="C7" s="18">
        <f>SUMIF($D$16:$D$215,A7,$C$16:$C$215)</f>
        <v/>
      </c>
    </row>
    <row r="8">
      <c r="A8" s="11" t="inlineStr">
        <is>
          <t>Propuesta enviada</t>
        </is>
      </c>
      <c r="B8" s="17">
        <f>COUNTIF($D$16:$D$215,A8)</f>
        <v/>
      </c>
      <c r="C8" s="18">
        <f>SUMIF($D$16:$D$215,A8,$C$16:$C$215)</f>
        <v/>
      </c>
    </row>
    <row r="9">
      <c r="A9" s="11" t="inlineStr">
        <is>
          <t>Negociación</t>
        </is>
      </c>
      <c r="B9" s="17">
        <f>COUNTIF($D$16:$D$215,A9)</f>
        <v/>
      </c>
      <c r="C9" s="18">
        <f>SUMIF($D$16:$D$215,A9,$C$16:$C$215)</f>
        <v/>
      </c>
    </row>
    <row r="10">
      <c r="A10" s="11" t="inlineStr">
        <is>
          <t>Ganada</t>
        </is>
      </c>
      <c r="B10" s="17">
        <f>COUNTIF($D$16:$D$215,A10)</f>
        <v/>
      </c>
      <c r="C10" s="18">
        <f>SUMIF($D$16:$D$215,A10,$C$16:$C$215)</f>
        <v/>
      </c>
    </row>
    <row r="11">
      <c r="A11" s="11" t="inlineStr">
        <is>
          <t>Perdida</t>
        </is>
      </c>
      <c r="B11" s="17">
        <f>COUNTIF($D$16:$D$215,A11)</f>
        <v/>
      </c>
      <c r="C11" s="18">
        <f>SUMIF($D$16:$D$215,A11,$C$16:$C$215)</f>
        <v/>
      </c>
    </row>
    <row r="12">
      <c r="A12" s="19" t="inlineStr">
        <is>
          <t>Tasa de cierre</t>
        </is>
      </c>
      <c r="B12" s="20">
        <f>IF(B10+B11=0,"",B10/(B10+B11))</f>
        <v/>
      </c>
      <c r="C12" s="21" t="inlineStr">
        <is>
          <t>ganadas ÷ (ganadas + perdidas)</t>
        </is>
      </c>
    </row>
    <row r="15" ht="30" customHeight="1">
      <c r="A15" s="10" t="inlineStr">
        <is>
          <t>Cliente</t>
        </is>
      </c>
      <c r="B15" s="10" t="inlineStr">
        <is>
          <t>Oportunidad</t>
        </is>
      </c>
      <c r="C15" s="10" t="inlineStr">
        <is>
          <t>Importe (€)</t>
        </is>
      </c>
      <c r="D15" s="10" t="inlineStr">
        <is>
          <t>Etapa</t>
        </is>
      </c>
      <c r="E15" s="10" t="inlineStr">
        <is>
          <t>Fecha de entrada</t>
        </is>
      </c>
      <c r="F15" s="10" t="inlineStr">
        <is>
          <t>Propuesta enviada el</t>
        </is>
      </c>
      <c r="G15" s="10" t="inlineStr">
        <is>
          <t>Llamar el día 3</t>
        </is>
      </c>
      <c r="H15" s="10" t="inlineStr">
        <is>
          <t>Llamar el día 7</t>
        </is>
      </c>
      <c r="I15" s="10" t="inlineStr">
        <is>
          <t>Próxima acción</t>
        </is>
      </c>
      <c r="J15" s="10" t="inlineStr">
        <is>
          <t>Responsable</t>
        </is>
      </c>
      <c r="K15" s="10" t="inlineStr">
        <is>
          <t>Motivo si se pierde</t>
        </is>
      </c>
      <c r="L15" s="10" t="inlineStr">
        <is>
          <t>Volver a contactar</t>
        </is>
      </c>
    </row>
    <row r="16">
      <c r="A16" s="12" t="n"/>
      <c r="B16" s="12" t="n"/>
      <c r="C16" s="22" t="n"/>
      <c r="D16" s="12" t="n"/>
      <c r="E16" s="23" t="n"/>
      <c r="F16" s="23" t="n"/>
      <c r="G16" s="24">
        <f>IF(F16="","",F16+3)</f>
        <v/>
      </c>
      <c r="H16" s="24">
        <f>IF(F16="","",F16+7)</f>
        <v/>
      </c>
      <c r="I16" s="12" t="n"/>
      <c r="J16" s="12" t="n"/>
      <c r="K16" s="12" t="n"/>
      <c r="L16" s="24">
        <f>IF(AND(D16="Perdida",E16&lt;&gt;""),EDATE(E16,6),"")</f>
        <v/>
      </c>
    </row>
    <row r="17">
      <c r="A17" s="12" t="n"/>
      <c r="B17" s="12" t="n"/>
      <c r="C17" s="22" t="n"/>
      <c r="D17" s="12" t="n"/>
      <c r="E17" s="23" t="n"/>
      <c r="F17" s="23" t="n"/>
      <c r="G17" s="24">
        <f>IF(F17="","",F17+3)</f>
        <v/>
      </c>
      <c r="H17" s="24">
        <f>IF(F17="","",F17+7)</f>
        <v/>
      </c>
      <c r="I17" s="12" t="n"/>
      <c r="J17" s="12" t="n"/>
      <c r="K17" s="12" t="n"/>
      <c r="L17" s="24">
        <f>IF(AND(D17="Perdida",E17&lt;&gt;""),EDATE(E17,6),"")</f>
        <v/>
      </c>
    </row>
    <row r="18">
      <c r="A18" s="12" t="n"/>
      <c r="B18" s="12" t="n"/>
      <c r="C18" s="22" t="n"/>
      <c r="D18" s="12" t="n"/>
      <c r="E18" s="23" t="n"/>
      <c r="F18" s="23" t="n"/>
      <c r="G18" s="24">
        <f>IF(F18="","",F18+3)</f>
        <v/>
      </c>
      <c r="H18" s="24">
        <f>IF(F18="","",F18+7)</f>
        <v/>
      </c>
      <c r="I18" s="12" t="n"/>
      <c r="J18" s="12" t="n"/>
      <c r="K18" s="12" t="n"/>
      <c r="L18" s="24">
        <f>IF(AND(D18="Perdida",E18&lt;&gt;""),EDATE(E18,6),"")</f>
        <v/>
      </c>
    </row>
    <row r="19">
      <c r="A19" s="12" t="n"/>
      <c r="B19" s="12" t="n"/>
      <c r="C19" s="22" t="n"/>
      <c r="D19" s="12" t="n"/>
      <c r="E19" s="23" t="n"/>
      <c r="F19" s="23" t="n"/>
      <c r="G19" s="24">
        <f>IF(F19="","",F19+3)</f>
        <v/>
      </c>
      <c r="H19" s="24">
        <f>IF(F19="","",F19+7)</f>
        <v/>
      </c>
      <c r="I19" s="12" t="n"/>
      <c r="J19" s="12" t="n"/>
      <c r="K19" s="12" t="n"/>
      <c r="L19" s="24">
        <f>IF(AND(D19="Perdida",E19&lt;&gt;""),EDATE(E19,6),"")</f>
        <v/>
      </c>
    </row>
    <row r="20">
      <c r="A20" s="12" t="n"/>
      <c r="B20" s="12" t="n"/>
      <c r="C20" s="22" t="n"/>
      <c r="D20" s="12" t="n"/>
      <c r="E20" s="23" t="n"/>
      <c r="F20" s="23" t="n"/>
      <c r="G20" s="24">
        <f>IF(F20="","",F20+3)</f>
        <v/>
      </c>
      <c r="H20" s="24">
        <f>IF(F20="","",F20+7)</f>
        <v/>
      </c>
      <c r="I20" s="12" t="n"/>
      <c r="J20" s="12" t="n"/>
      <c r="K20" s="12" t="n"/>
      <c r="L20" s="24">
        <f>IF(AND(D20="Perdida",E20&lt;&gt;""),EDATE(E20,6),"")</f>
        <v/>
      </c>
    </row>
    <row r="21">
      <c r="A21" s="12" t="n"/>
      <c r="B21" s="12" t="n"/>
      <c r="C21" s="22" t="n"/>
      <c r="D21" s="12" t="n"/>
      <c r="E21" s="23" t="n"/>
      <c r="F21" s="23" t="n"/>
      <c r="G21" s="24">
        <f>IF(F21="","",F21+3)</f>
        <v/>
      </c>
      <c r="H21" s="24">
        <f>IF(F21="","",F21+7)</f>
        <v/>
      </c>
      <c r="I21" s="12" t="n"/>
      <c r="J21" s="12" t="n"/>
      <c r="K21" s="12" t="n"/>
      <c r="L21" s="24">
        <f>IF(AND(D21="Perdida",E21&lt;&gt;""),EDATE(E21,6),"")</f>
        <v/>
      </c>
    </row>
    <row r="22">
      <c r="A22" s="12" t="n"/>
      <c r="B22" s="12" t="n"/>
      <c r="C22" s="22" t="n"/>
      <c r="D22" s="12" t="n"/>
      <c r="E22" s="23" t="n"/>
      <c r="F22" s="23" t="n"/>
      <c r="G22" s="24">
        <f>IF(F22="","",F22+3)</f>
        <v/>
      </c>
      <c r="H22" s="24">
        <f>IF(F22="","",F22+7)</f>
        <v/>
      </c>
      <c r="I22" s="12" t="n"/>
      <c r="J22" s="12" t="n"/>
      <c r="K22" s="12" t="n"/>
      <c r="L22" s="24">
        <f>IF(AND(D22="Perdida",E22&lt;&gt;""),EDATE(E22,6),"")</f>
        <v/>
      </c>
    </row>
    <row r="23">
      <c r="A23" s="12" t="n"/>
      <c r="B23" s="12" t="n"/>
      <c r="C23" s="22" t="n"/>
      <c r="D23" s="12" t="n"/>
      <c r="E23" s="23" t="n"/>
      <c r="F23" s="23" t="n"/>
      <c r="G23" s="24">
        <f>IF(F23="","",F23+3)</f>
        <v/>
      </c>
      <c r="H23" s="24">
        <f>IF(F23="","",F23+7)</f>
        <v/>
      </c>
      <c r="I23" s="12" t="n"/>
      <c r="J23" s="12" t="n"/>
      <c r="K23" s="12" t="n"/>
      <c r="L23" s="24">
        <f>IF(AND(D23="Perdida",E23&lt;&gt;""),EDATE(E23,6),"")</f>
        <v/>
      </c>
    </row>
    <row r="24">
      <c r="A24" s="12" t="n"/>
      <c r="B24" s="12" t="n"/>
      <c r="C24" s="22" t="n"/>
      <c r="D24" s="12" t="n"/>
      <c r="E24" s="23" t="n"/>
      <c r="F24" s="23" t="n"/>
      <c r="G24" s="24">
        <f>IF(F24="","",F24+3)</f>
        <v/>
      </c>
      <c r="H24" s="24">
        <f>IF(F24="","",F24+7)</f>
        <v/>
      </c>
      <c r="I24" s="12" t="n"/>
      <c r="J24" s="12" t="n"/>
      <c r="K24" s="12" t="n"/>
      <c r="L24" s="24">
        <f>IF(AND(D24="Perdida",E24&lt;&gt;""),EDATE(E24,6),"")</f>
        <v/>
      </c>
    </row>
    <row r="25">
      <c r="A25" s="12" t="n"/>
      <c r="B25" s="12" t="n"/>
      <c r="C25" s="22" t="n"/>
      <c r="D25" s="12" t="n"/>
      <c r="E25" s="23" t="n"/>
      <c r="F25" s="23" t="n"/>
      <c r="G25" s="24">
        <f>IF(F25="","",F25+3)</f>
        <v/>
      </c>
      <c r="H25" s="24">
        <f>IF(F25="","",F25+7)</f>
        <v/>
      </c>
      <c r="I25" s="12" t="n"/>
      <c r="J25" s="12" t="n"/>
      <c r="K25" s="12" t="n"/>
      <c r="L25" s="24">
        <f>IF(AND(D25="Perdida",E25&lt;&gt;""),EDATE(E25,6),"")</f>
        <v/>
      </c>
    </row>
    <row r="26">
      <c r="A26" s="12" t="n"/>
      <c r="B26" s="12" t="n"/>
      <c r="C26" s="22" t="n"/>
      <c r="D26" s="12" t="n"/>
      <c r="E26" s="23" t="n"/>
      <c r="F26" s="23" t="n"/>
      <c r="G26" s="24">
        <f>IF(F26="","",F26+3)</f>
        <v/>
      </c>
      <c r="H26" s="24">
        <f>IF(F26="","",F26+7)</f>
        <v/>
      </c>
      <c r="I26" s="12" t="n"/>
      <c r="J26" s="12" t="n"/>
      <c r="K26" s="12" t="n"/>
      <c r="L26" s="24">
        <f>IF(AND(D26="Perdida",E26&lt;&gt;""),EDATE(E26,6),"")</f>
        <v/>
      </c>
    </row>
    <row r="27">
      <c r="A27" s="12" t="n"/>
      <c r="B27" s="12" t="n"/>
      <c r="C27" s="22" t="n"/>
      <c r="D27" s="12" t="n"/>
      <c r="E27" s="23" t="n"/>
      <c r="F27" s="23" t="n"/>
      <c r="G27" s="24">
        <f>IF(F27="","",F27+3)</f>
        <v/>
      </c>
      <c r="H27" s="24">
        <f>IF(F27="","",F27+7)</f>
        <v/>
      </c>
      <c r="I27" s="12" t="n"/>
      <c r="J27" s="12" t="n"/>
      <c r="K27" s="12" t="n"/>
      <c r="L27" s="24">
        <f>IF(AND(D27="Perdida",E27&lt;&gt;""),EDATE(E27,6),"")</f>
        <v/>
      </c>
    </row>
    <row r="28">
      <c r="A28" s="12" t="n"/>
      <c r="B28" s="12" t="n"/>
      <c r="C28" s="22" t="n"/>
      <c r="D28" s="12" t="n"/>
      <c r="E28" s="23" t="n"/>
      <c r="F28" s="23" t="n"/>
      <c r="G28" s="24">
        <f>IF(F28="","",F28+3)</f>
        <v/>
      </c>
      <c r="H28" s="24">
        <f>IF(F28="","",F28+7)</f>
        <v/>
      </c>
      <c r="I28" s="12" t="n"/>
      <c r="J28" s="12" t="n"/>
      <c r="K28" s="12" t="n"/>
      <c r="L28" s="24">
        <f>IF(AND(D28="Perdida",E28&lt;&gt;""),EDATE(E28,6),"")</f>
        <v/>
      </c>
    </row>
    <row r="29">
      <c r="A29" s="12" t="n"/>
      <c r="B29" s="12" t="n"/>
      <c r="C29" s="22" t="n"/>
      <c r="D29" s="12" t="n"/>
      <c r="E29" s="23" t="n"/>
      <c r="F29" s="23" t="n"/>
      <c r="G29" s="24">
        <f>IF(F29="","",F29+3)</f>
        <v/>
      </c>
      <c r="H29" s="24">
        <f>IF(F29="","",F29+7)</f>
        <v/>
      </c>
      <c r="I29" s="12" t="n"/>
      <c r="J29" s="12" t="n"/>
      <c r="K29" s="12" t="n"/>
      <c r="L29" s="24">
        <f>IF(AND(D29="Perdida",E29&lt;&gt;""),EDATE(E29,6),"")</f>
        <v/>
      </c>
    </row>
    <row r="30">
      <c r="A30" s="12" t="n"/>
      <c r="B30" s="12" t="n"/>
      <c r="C30" s="22" t="n"/>
      <c r="D30" s="12" t="n"/>
      <c r="E30" s="23" t="n"/>
      <c r="F30" s="23" t="n"/>
      <c r="G30" s="24">
        <f>IF(F30="","",F30+3)</f>
        <v/>
      </c>
      <c r="H30" s="24">
        <f>IF(F30="","",F30+7)</f>
        <v/>
      </c>
      <c r="I30" s="12" t="n"/>
      <c r="J30" s="12" t="n"/>
      <c r="K30" s="12" t="n"/>
      <c r="L30" s="24">
        <f>IF(AND(D30="Perdida",E30&lt;&gt;""),EDATE(E30,6),"")</f>
        <v/>
      </c>
    </row>
    <row r="31">
      <c r="A31" s="12" t="n"/>
      <c r="B31" s="12" t="n"/>
      <c r="C31" s="22" t="n"/>
      <c r="D31" s="12" t="n"/>
      <c r="E31" s="23" t="n"/>
      <c r="F31" s="23" t="n"/>
      <c r="G31" s="24">
        <f>IF(F31="","",F31+3)</f>
        <v/>
      </c>
      <c r="H31" s="24">
        <f>IF(F31="","",F31+7)</f>
        <v/>
      </c>
      <c r="I31" s="12" t="n"/>
      <c r="J31" s="12" t="n"/>
      <c r="K31" s="12" t="n"/>
      <c r="L31" s="24">
        <f>IF(AND(D31="Perdida",E31&lt;&gt;""),EDATE(E31,6),"")</f>
        <v/>
      </c>
    </row>
    <row r="32">
      <c r="A32" s="12" t="n"/>
      <c r="B32" s="12" t="n"/>
      <c r="C32" s="22" t="n"/>
      <c r="D32" s="12" t="n"/>
      <c r="E32" s="23" t="n"/>
      <c r="F32" s="23" t="n"/>
      <c r="G32" s="24">
        <f>IF(F32="","",F32+3)</f>
        <v/>
      </c>
      <c r="H32" s="24">
        <f>IF(F32="","",F32+7)</f>
        <v/>
      </c>
      <c r="I32" s="12" t="n"/>
      <c r="J32" s="12" t="n"/>
      <c r="K32" s="12" t="n"/>
      <c r="L32" s="24">
        <f>IF(AND(D32="Perdida",E32&lt;&gt;""),EDATE(E32,6),"")</f>
        <v/>
      </c>
    </row>
    <row r="33">
      <c r="A33" s="12" t="n"/>
      <c r="B33" s="12" t="n"/>
      <c r="C33" s="22" t="n"/>
      <c r="D33" s="12" t="n"/>
      <c r="E33" s="23" t="n"/>
      <c r="F33" s="23" t="n"/>
      <c r="G33" s="24">
        <f>IF(F33="","",F33+3)</f>
        <v/>
      </c>
      <c r="H33" s="24">
        <f>IF(F33="","",F33+7)</f>
        <v/>
      </c>
      <c r="I33" s="12" t="n"/>
      <c r="J33" s="12" t="n"/>
      <c r="K33" s="12" t="n"/>
      <c r="L33" s="24">
        <f>IF(AND(D33="Perdida",E33&lt;&gt;""),EDATE(E33,6),"")</f>
        <v/>
      </c>
    </row>
    <row r="34">
      <c r="A34" s="12" t="n"/>
      <c r="B34" s="12" t="n"/>
      <c r="C34" s="22" t="n"/>
      <c r="D34" s="12" t="n"/>
      <c r="E34" s="23" t="n"/>
      <c r="F34" s="23" t="n"/>
      <c r="G34" s="24">
        <f>IF(F34="","",F34+3)</f>
        <v/>
      </c>
      <c r="H34" s="24">
        <f>IF(F34="","",F34+7)</f>
        <v/>
      </c>
      <c r="I34" s="12" t="n"/>
      <c r="J34" s="12" t="n"/>
      <c r="K34" s="12" t="n"/>
      <c r="L34" s="24">
        <f>IF(AND(D34="Perdida",E34&lt;&gt;""),EDATE(E34,6),"")</f>
        <v/>
      </c>
    </row>
    <row r="35">
      <c r="A35" s="12" t="n"/>
      <c r="B35" s="12" t="n"/>
      <c r="C35" s="22" t="n"/>
      <c r="D35" s="12" t="n"/>
      <c r="E35" s="23" t="n"/>
      <c r="F35" s="23" t="n"/>
      <c r="G35" s="24">
        <f>IF(F35="","",F35+3)</f>
        <v/>
      </c>
      <c r="H35" s="24">
        <f>IF(F35="","",F35+7)</f>
        <v/>
      </c>
      <c r="I35" s="12" t="n"/>
      <c r="J35" s="12" t="n"/>
      <c r="K35" s="12" t="n"/>
      <c r="L35" s="24">
        <f>IF(AND(D35="Perdida",E35&lt;&gt;""),EDATE(E35,6),"")</f>
        <v/>
      </c>
    </row>
    <row r="36">
      <c r="A36" s="12" t="n"/>
      <c r="B36" s="12" t="n"/>
      <c r="C36" s="22" t="n"/>
      <c r="D36" s="12" t="n"/>
      <c r="E36" s="23" t="n"/>
      <c r="F36" s="23" t="n"/>
      <c r="G36" s="24">
        <f>IF(F36="","",F36+3)</f>
        <v/>
      </c>
      <c r="H36" s="24">
        <f>IF(F36="","",F36+7)</f>
        <v/>
      </c>
      <c r="I36" s="12" t="n"/>
      <c r="J36" s="12" t="n"/>
      <c r="K36" s="12" t="n"/>
      <c r="L36" s="24">
        <f>IF(AND(D36="Perdida",E36&lt;&gt;""),EDATE(E36,6),"")</f>
        <v/>
      </c>
    </row>
    <row r="37">
      <c r="A37" s="12" t="n"/>
      <c r="B37" s="12" t="n"/>
      <c r="C37" s="22" t="n"/>
      <c r="D37" s="12" t="n"/>
      <c r="E37" s="23" t="n"/>
      <c r="F37" s="23" t="n"/>
      <c r="G37" s="24">
        <f>IF(F37="","",F37+3)</f>
        <v/>
      </c>
      <c r="H37" s="24">
        <f>IF(F37="","",F37+7)</f>
        <v/>
      </c>
      <c r="I37" s="12" t="n"/>
      <c r="J37" s="12" t="n"/>
      <c r="K37" s="12" t="n"/>
      <c r="L37" s="24">
        <f>IF(AND(D37="Perdida",E37&lt;&gt;""),EDATE(E37,6),"")</f>
        <v/>
      </c>
    </row>
    <row r="38">
      <c r="A38" s="12" t="n"/>
      <c r="B38" s="12" t="n"/>
      <c r="C38" s="22" t="n"/>
      <c r="D38" s="12" t="n"/>
      <c r="E38" s="23" t="n"/>
      <c r="F38" s="23" t="n"/>
      <c r="G38" s="24">
        <f>IF(F38="","",F38+3)</f>
        <v/>
      </c>
      <c r="H38" s="24">
        <f>IF(F38="","",F38+7)</f>
        <v/>
      </c>
      <c r="I38" s="12" t="n"/>
      <c r="J38" s="12" t="n"/>
      <c r="K38" s="12" t="n"/>
      <c r="L38" s="24">
        <f>IF(AND(D38="Perdida",E38&lt;&gt;""),EDATE(E38,6),"")</f>
        <v/>
      </c>
    </row>
    <row r="39">
      <c r="A39" s="12" t="n"/>
      <c r="B39" s="12" t="n"/>
      <c r="C39" s="22" t="n"/>
      <c r="D39" s="12" t="n"/>
      <c r="E39" s="23" t="n"/>
      <c r="F39" s="23" t="n"/>
      <c r="G39" s="24">
        <f>IF(F39="","",F39+3)</f>
        <v/>
      </c>
      <c r="H39" s="24">
        <f>IF(F39="","",F39+7)</f>
        <v/>
      </c>
      <c r="I39" s="12" t="n"/>
      <c r="J39" s="12" t="n"/>
      <c r="K39" s="12" t="n"/>
      <c r="L39" s="24">
        <f>IF(AND(D39="Perdida",E39&lt;&gt;""),EDATE(E39,6),"")</f>
        <v/>
      </c>
    </row>
    <row r="40">
      <c r="A40" s="12" t="n"/>
      <c r="B40" s="12" t="n"/>
      <c r="C40" s="22" t="n"/>
      <c r="D40" s="12" t="n"/>
      <c r="E40" s="23" t="n"/>
      <c r="F40" s="23" t="n"/>
      <c r="G40" s="24">
        <f>IF(F40="","",F40+3)</f>
        <v/>
      </c>
      <c r="H40" s="24">
        <f>IF(F40="","",F40+7)</f>
        <v/>
      </c>
      <c r="I40" s="12" t="n"/>
      <c r="J40" s="12" t="n"/>
      <c r="K40" s="12" t="n"/>
      <c r="L40" s="24">
        <f>IF(AND(D40="Perdida",E40&lt;&gt;""),EDATE(E40,6),"")</f>
        <v/>
      </c>
    </row>
    <row r="41">
      <c r="A41" s="12" t="n"/>
      <c r="B41" s="12" t="n"/>
      <c r="C41" s="22" t="n"/>
      <c r="D41" s="12" t="n"/>
      <c r="E41" s="23" t="n"/>
      <c r="F41" s="23" t="n"/>
      <c r="G41" s="24">
        <f>IF(F41="","",F41+3)</f>
        <v/>
      </c>
      <c r="H41" s="24">
        <f>IF(F41="","",F41+7)</f>
        <v/>
      </c>
      <c r="I41" s="12" t="n"/>
      <c r="J41" s="12" t="n"/>
      <c r="K41" s="12" t="n"/>
      <c r="L41" s="24">
        <f>IF(AND(D41="Perdida",E41&lt;&gt;""),EDATE(E41,6),"")</f>
        <v/>
      </c>
    </row>
    <row r="42">
      <c r="A42" s="12" t="n"/>
      <c r="B42" s="12" t="n"/>
      <c r="C42" s="22" t="n"/>
      <c r="D42" s="12" t="n"/>
      <c r="E42" s="23" t="n"/>
      <c r="F42" s="23" t="n"/>
      <c r="G42" s="24">
        <f>IF(F42="","",F42+3)</f>
        <v/>
      </c>
      <c r="H42" s="24">
        <f>IF(F42="","",F42+7)</f>
        <v/>
      </c>
      <c r="I42" s="12" t="n"/>
      <c r="J42" s="12" t="n"/>
      <c r="K42" s="12" t="n"/>
      <c r="L42" s="24">
        <f>IF(AND(D42="Perdida",E42&lt;&gt;""),EDATE(E42,6),"")</f>
        <v/>
      </c>
    </row>
    <row r="43">
      <c r="A43" s="12" t="n"/>
      <c r="B43" s="12" t="n"/>
      <c r="C43" s="22" t="n"/>
      <c r="D43" s="12" t="n"/>
      <c r="E43" s="23" t="n"/>
      <c r="F43" s="23" t="n"/>
      <c r="G43" s="24">
        <f>IF(F43="","",F43+3)</f>
        <v/>
      </c>
      <c r="H43" s="24">
        <f>IF(F43="","",F43+7)</f>
        <v/>
      </c>
      <c r="I43" s="12" t="n"/>
      <c r="J43" s="12" t="n"/>
      <c r="K43" s="12" t="n"/>
      <c r="L43" s="24">
        <f>IF(AND(D43="Perdida",E43&lt;&gt;""),EDATE(E43,6),"")</f>
        <v/>
      </c>
    </row>
    <row r="44">
      <c r="A44" s="12" t="n"/>
      <c r="B44" s="12" t="n"/>
      <c r="C44" s="22" t="n"/>
      <c r="D44" s="12" t="n"/>
      <c r="E44" s="23" t="n"/>
      <c r="F44" s="23" t="n"/>
      <c r="G44" s="24">
        <f>IF(F44="","",F44+3)</f>
        <v/>
      </c>
      <c r="H44" s="24">
        <f>IF(F44="","",F44+7)</f>
        <v/>
      </c>
      <c r="I44" s="12" t="n"/>
      <c r="J44" s="12" t="n"/>
      <c r="K44" s="12" t="n"/>
      <c r="L44" s="24">
        <f>IF(AND(D44="Perdida",E44&lt;&gt;""),EDATE(E44,6),"")</f>
        <v/>
      </c>
    </row>
    <row r="45">
      <c r="A45" s="12" t="n"/>
      <c r="B45" s="12" t="n"/>
      <c r="C45" s="22" t="n"/>
      <c r="D45" s="12" t="n"/>
      <c r="E45" s="23" t="n"/>
      <c r="F45" s="23" t="n"/>
      <c r="G45" s="24">
        <f>IF(F45="","",F45+3)</f>
        <v/>
      </c>
      <c r="H45" s="24">
        <f>IF(F45="","",F45+7)</f>
        <v/>
      </c>
      <c r="I45" s="12" t="n"/>
      <c r="J45" s="12" t="n"/>
      <c r="K45" s="12" t="n"/>
      <c r="L45" s="24">
        <f>IF(AND(D45="Perdida",E45&lt;&gt;""),EDATE(E45,6),"")</f>
        <v/>
      </c>
    </row>
    <row r="46">
      <c r="A46" s="12" t="n"/>
      <c r="B46" s="12" t="n"/>
      <c r="C46" s="22" t="n"/>
      <c r="D46" s="12" t="n"/>
      <c r="E46" s="23" t="n"/>
      <c r="F46" s="23" t="n"/>
      <c r="G46" s="24">
        <f>IF(F46="","",F46+3)</f>
        <v/>
      </c>
      <c r="H46" s="24">
        <f>IF(F46="","",F46+7)</f>
        <v/>
      </c>
      <c r="I46" s="12" t="n"/>
      <c r="J46" s="12" t="n"/>
      <c r="K46" s="12" t="n"/>
      <c r="L46" s="24">
        <f>IF(AND(D46="Perdida",E46&lt;&gt;""),EDATE(E46,6),"")</f>
        <v/>
      </c>
    </row>
    <row r="47">
      <c r="A47" s="12" t="n"/>
      <c r="B47" s="12" t="n"/>
      <c r="C47" s="22" t="n"/>
      <c r="D47" s="12" t="n"/>
      <c r="E47" s="23" t="n"/>
      <c r="F47" s="23" t="n"/>
      <c r="G47" s="24">
        <f>IF(F47="","",F47+3)</f>
        <v/>
      </c>
      <c r="H47" s="24">
        <f>IF(F47="","",F47+7)</f>
        <v/>
      </c>
      <c r="I47" s="12" t="n"/>
      <c r="J47" s="12" t="n"/>
      <c r="K47" s="12" t="n"/>
      <c r="L47" s="24">
        <f>IF(AND(D47="Perdida",E47&lt;&gt;""),EDATE(E47,6),"")</f>
        <v/>
      </c>
    </row>
    <row r="48">
      <c r="A48" s="12" t="n"/>
      <c r="B48" s="12" t="n"/>
      <c r="C48" s="22" t="n"/>
      <c r="D48" s="12" t="n"/>
      <c r="E48" s="23" t="n"/>
      <c r="F48" s="23" t="n"/>
      <c r="G48" s="24">
        <f>IF(F48="","",F48+3)</f>
        <v/>
      </c>
      <c r="H48" s="24">
        <f>IF(F48="","",F48+7)</f>
        <v/>
      </c>
      <c r="I48" s="12" t="n"/>
      <c r="J48" s="12" t="n"/>
      <c r="K48" s="12" t="n"/>
      <c r="L48" s="24">
        <f>IF(AND(D48="Perdida",E48&lt;&gt;""),EDATE(E48,6),"")</f>
        <v/>
      </c>
    </row>
    <row r="49">
      <c r="A49" s="12" t="n"/>
      <c r="B49" s="12" t="n"/>
      <c r="C49" s="22" t="n"/>
      <c r="D49" s="12" t="n"/>
      <c r="E49" s="23" t="n"/>
      <c r="F49" s="23" t="n"/>
      <c r="G49" s="24">
        <f>IF(F49="","",F49+3)</f>
        <v/>
      </c>
      <c r="H49" s="24">
        <f>IF(F49="","",F49+7)</f>
        <v/>
      </c>
      <c r="I49" s="12" t="n"/>
      <c r="J49" s="12" t="n"/>
      <c r="K49" s="12" t="n"/>
      <c r="L49" s="24">
        <f>IF(AND(D49="Perdida",E49&lt;&gt;""),EDATE(E49,6),"")</f>
        <v/>
      </c>
    </row>
    <row r="50">
      <c r="A50" s="12" t="n"/>
      <c r="B50" s="12" t="n"/>
      <c r="C50" s="22" t="n"/>
      <c r="D50" s="12" t="n"/>
      <c r="E50" s="23" t="n"/>
      <c r="F50" s="23" t="n"/>
      <c r="G50" s="24">
        <f>IF(F50="","",F50+3)</f>
        <v/>
      </c>
      <c r="H50" s="24">
        <f>IF(F50="","",F50+7)</f>
        <v/>
      </c>
      <c r="I50" s="12" t="n"/>
      <c r="J50" s="12" t="n"/>
      <c r="K50" s="12" t="n"/>
      <c r="L50" s="24">
        <f>IF(AND(D50="Perdida",E50&lt;&gt;""),EDATE(E50,6),"")</f>
        <v/>
      </c>
    </row>
    <row r="51">
      <c r="A51" s="12" t="n"/>
      <c r="B51" s="12" t="n"/>
      <c r="C51" s="22" t="n"/>
      <c r="D51" s="12" t="n"/>
      <c r="E51" s="23" t="n"/>
      <c r="F51" s="23" t="n"/>
      <c r="G51" s="24">
        <f>IF(F51="","",F51+3)</f>
        <v/>
      </c>
      <c r="H51" s="24">
        <f>IF(F51="","",F51+7)</f>
        <v/>
      </c>
      <c r="I51" s="12" t="n"/>
      <c r="J51" s="12" t="n"/>
      <c r="K51" s="12" t="n"/>
      <c r="L51" s="24">
        <f>IF(AND(D51="Perdida",E51&lt;&gt;""),EDATE(E51,6),"")</f>
        <v/>
      </c>
    </row>
    <row r="52">
      <c r="A52" s="12" t="n"/>
      <c r="B52" s="12" t="n"/>
      <c r="C52" s="22" t="n"/>
      <c r="D52" s="12" t="n"/>
      <c r="E52" s="23" t="n"/>
      <c r="F52" s="23" t="n"/>
      <c r="G52" s="24">
        <f>IF(F52="","",F52+3)</f>
        <v/>
      </c>
      <c r="H52" s="24">
        <f>IF(F52="","",F52+7)</f>
        <v/>
      </c>
      <c r="I52" s="12" t="n"/>
      <c r="J52" s="12" t="n"/>
      <c r="K52" s="12" t="n"/>
      <c r="L52" s="24">
        <f>IF(AND(D52="Perdida",E52&lt;&gt;""),EDATE(E52,6),"")</f>
        <v/>
      </c>
    </row>
    <row r="53">
      <c r="A53" s="12" t="n"/>
      <c r="B53" s="12" t="n"/>
      <c r="C53" s="22" t="n"/>
      <c r="D53" s="12" t="n"/>
      <c r="E53" s="23" t="n"/>
      <c r="F53" s="23" t="n"/>
      <c r="G53" s="24">
        <f>IF(F53="","",F53+3)</f>
        <v/>
      </c>
      <c r="H53" s="24">
        <f>IF(F53="","",F53+7)</f>
        <v/>
      </c>
      <c r="I53" s="12" t="n"/>
      <c r="J53" s="12" t="n"/>
      <c r="K53" s="12" t="n"/>
      <c r="L53" s="24">
        <f>IF(AND(D53="Perdida",E53&lt;&gt;""),EDATE(E53,6),"")</f>
        <v/>
      </c>
    </row>
    <row r="54">
      <c r="A54" s="12" t="n"/>
      <c r="B54" s="12" t="n"/>
      <c r="C54" s="22" t="n"/>
      <c r="D54" s="12" t="n"/>
      <c r="E54" s="23" t="n"/>
      <c r="F54" s="23" t="n"/>
      <c r="G54" s="24">
        <f>IF(F54="","",F54+3)</f>
        <v/>
      </c>
      <c r="H54" s="24">
        <f>IF(F54="","",F54+7)</f>
        <v/>
      </c>
      <c r="I54" s="12" t="n"/>
      <c r="J54" s="12" t="n"/>
      <c r="K54" s="12" t="n"/>
      <c r="L54" s="24">
        <f>IF(AND(D54="Perdida",E54&lt;&gt;""),EDATE(E54,6),"")</f>
        <v/>
      </c>
    </row>
    <row r="55">
      <c r="A55" s="12" t="n"/>
      <c r="B55" s="12" t="n"/>
      <c r="C55" s="22" t="n"/>
      <c r="D55" s="12" t="n"/>
      <c r="E55" s="23" t="n"/>
      <c r="F55" s="23" t="n"/>
      <c r="G55" s="24">
        <f>IF(F55="","",F55+3)</f>
        <v/>
      </c>
      <c r="H55" s="24">
        <f>IF(F55="","",F55+7)</f>
        <v/>
      </c>
      <c r="I55" s="12" t="n"/>
      <c r="J55" s="12" t="n"/>
      <c r="K55" s="12" t="n"/>
      <c r="L55" s="24">
        <f>IF(AND(D55="Perdida",E55&lt;&gt;""),EDATE(E55,6),"")</f>
        <v/>
      </c>
    </row>
    <row r="56">
      <c r="A56" s="12" t="n"/>
      <c r="B56" s="12" t="n"/>
      <c r="C56" s="22" t="n"/>
      <c r="D56" s="12" t="n"/>
      <c r="E56" s="23" t="n"/>
      <c r="F56" s="23" t="n"/>
      <c r="G56" s="24">
        <f>IF(F56="","",F56+3)</f>
        <v/>
      </c>
      <c r="H56" s="24">
        <f>IF(F56="","",F56+7)</f>
        <v/>
      </c>
      <c r="I56" s="12" t="n"/>
      <c r="J56" s="12" t="n"/>
      <c r="K56" s="12" t="n"/>
      <c r="L56" s="24">
        <f>IF(AND(D56="Perdida",E56&lt;&gt;""),EDATE(E56,6),"")</f>
        <v/>
      </c>
    </row>
    <row r="57">
      <c r="A57" s="12" t="n"/>
      <c r="B57" s="12" t="n"/>
      <c r="C57" s="22" t="n"/>
      <c r="D57" s="12" t="n"/>
      <c r="E57" s="23" t="n"/>
      <c r="F57" s="23" t="n"/>
      <c r="G57" s="24">
        <f>IF(F57="","",F57+3)</f>
        <v/>
      </c>
      <c r="H57" s="24">
        <f>IF(F57="","",F57+7)</f>
        <v/>
      </c>
      <c r="I57" s="12" t="n"/>
      <c r="J57" s="12" t="n"/>
      <c r="K57" s="12" t="n"/>
      <c r="L57" s="24">
        <f>IF(AND(D57="Perdida",E57&lt;&gt;""),EDATE(E57,6),"")</f>
        <v/>
      </c>
    </row>
    <row r="58">
      <c r="A58" s="12" t="n"/>
      <c r="B58" s="12" t="n"/>
      <c r="C58" s="22" t="n"/>
      <c r="D58" s="12" t="n"/>
      <c r="E58" s="23" t="n"/>
      <c r="F58" s="23" t="n"/>
      <c r="G58" s="24">
        <f>IF(F58="","",F58+3)</f>
        <v/>
      </c>
      <c r="H58" s="24">
        <f>IF(F58="","",F58+7)</f>
        <v/>
      </c>
      <c r="I58" s="12" t="n"/>
      <c r="J58" s="12" t="n"/>
      <c r="K58" s="12" t="n"/>
      <c r="L58" s="24">
        <f>IF(AND(D58="Perdida",E58&lt;&gt;""),EDATE(E58,6),"")</f>
        <v/>
      </c>
    </row>
    <row r="59">
      <c r="A59" s="12" t="n"/>
      <c r="B59" s="12" t="n"/>
      <c r="C59" s="22" t="n"/>
      <c r="D59" s="12" t="n"/>
      <c r="E59" s="23" t="n"/>
      <c r="F59" s="23" t="n"/>
      <c r="G59" s="24">
        <f>IF(F59="","",F59+3)</f>
        <v/>
      </c>
      <c r="H59" s="24">
        <f>IF(F59="","",F59+7)</f>
        <v/>
      </c>
      <c r="I59" s="12" t="n"/>
      <c r="J59" s="12" t="n"/>
      <c r="K59" s="12" t="n"/>
      <c r="L59" s="24">
        <f>IF(AND(D59="Perdida",E59&lt;&gt;""),EDATE(E59,6),"")</f>
        <v/>
      </c>
    </row>
    <row r="60">
      <c r="A60" s="12" t="n"/>
      <c r="B60" s="12" t="n"/>
      <c r="C60" s="22" t="n"/>
      <c r="D60" s="12" t="n"/>
      <c r="E60" s="23" t="n"/>
      <c r="F60" s="23" t="n"/>
      <c r="G60" s="24">
        <f>IF(F60="","",F60+3)</f>
        <v/>
      </c>
      <c r="H60" s="24">
        <f>IF(F60="","",F60+7)</f>
        <v/>
      </c>
      <c r="I60" s="12" t="n"/>
      <c r="J60" s="12" t="n"/>
      <c r="K60" s="12" t="n"/>
      <c r="L60" s="24">
        <f>IF(AND(D60="Perdida",E60&lt;&gt;""),EDATE(E60,6),"")</f>
        <v/>
      </c>
    </row>
    <row r="61">
      <c r="A61" s="12" t="n"/>
      <c r="B61" s="12" t="n"/>
      <c r="C61" s="22" t="n"/>
      <c r="D61" s="12" t="n"/>
      <c r="E61" s="23" t="n"/>
      <c r="F61" s="23" t="n"/>
      <c r="G61" s="24">
        <f>IF(F61="","",F61+3)</f>
        <v/>
      </c>
      <c r="H61" s="24">
        <f>IF(F61="","",F61+7)</f>
        <v/>
      </c>
      <c r="I61" s="12" t="n"/>
      <c r="J61" s="12" t="n"/>
      <c r="K61" s="12" t="n"/>
      <c r="L61" s="24">
        <f>IF(AND(D61="Perdida",E61&lt;&gt;""),EDATE(E61,6),"")</f>
        <v/>
      </c>
    </row>
    <row r="62">
      <c r="A62" s="12" t="n"/>
      <c r="B62" s="12" t="n"/>
      <c r="C62" s="22" t="n"/>
      <c r="D62" s="12" t="n"/>
      <c r="E62" s="23" t="n"/>
      <c r="F62" s="23" t="n"/>
      <c r="G62" s="24">
        <f>IF(F62="","",F62+3)</f>
        <v/>
      </c>
      <c r="H62" s="24">
        <f>IF(F62="","",F62+7)</f>
        <v/>
      </c>
      <c r="I62" s="12" t="n"/>
      <c r="J62" s="12" t="n"/>
      <c r="K62" s="12" t="n"/>
      <c r="L62" s="24">
        <f>IF(AND(D62="Perdida",E62&lt;&gt;""),EDATE(E62,6),"")</f>
        <v/>
      </c>
    </row>
    <row r="63">
      <c r="A63" s="12" t="n"/>
      <c r="B63" s="12" t="n"/>
      <c r="C63" s="22" t="n"/>
      <c r="D63" s="12" t="n"/>
      <c r="E63" s="23" t="n"/>
      <c r="F63" s="23" t="n"/>
      <c r="G63" s="24">
        <f>IF(F63="","",F63+3)</f>
        <v/>
      </c>
      <c r="H63" s="24">
        <f>IF(F63="","",F63+7)</f>
        <v/>
      </c>
      <c r="I63" s="12" t="n"/>
      <c r="J63" s="12" t="n"/>
      <c r="K63" s="12" t="n"/>
      <c r="L63" s="24">
        <f>IF(AND(D63="Perdida",E63&lt;&gt;""),EDATE(E63,6),"")</f>
        <v/>
      </c>
    </row>
    <row r="64">
      <c r="A64" s="12" t="n"/>
      <c r="B64" s="12" t="n"/>
      <c r="C64" s="22" t="n"/>
      <c r="D64" s="12" t="n"/>
      <c r="E64" s="23" t="n"/>
      <c r="F64" s="23" t="n"/>
      <c r="G64" s="24">
        <f>IF(F64="","",F64+3)</f>
        <v/>
      </c>
      <c r="H64" s="24">
        <f>IF(F64="","",F64+7)</f>
        <v/>
      </c>
      <c r="I64" s="12" t="n"/>
      <c r="J64" s="12" t="n"/>
      <c r="K64" s="12" t="n"/>
      <c r="L64" s="24">
        <f>IF(AND(D64="Perdida",E64&lt;&gt;""),EDATE(E64,6),"")</f>
        <v/>
      </c>
    </row>
    <row r="65">
      <c r="A65" s="12" t="n"/>
      <c r="B65" s="12" t="n"/>
      <c r="C65" s="22" t="n"/>
      <c r="D65" s="12" t="n"/>
      <c r="E65" s="23" t="n"/>
      <c r="F65" s="23" t="n"/>
      <c r="G65" s="24">
        <f>IF(F65="","",F65+3)</f>
        <v/>
      </c>
      <c r="H65" s="24">
        <f>IF(F65="","",F65+7)</f>
        <v/>
      </c>
      <c r="I65" s="12" t="n"/>
      <c r="J65" s="12" t="n"/>
      <c r="K65" s="12" t="n"/>
      <c r="L65" s="24">
        <f>IF(AND(D65="Perdida",E65&lt;&gt;""),EDATE(E65,6),"")</f>
        <v/>
      </c>
    </row>
    <row r="66">
      <c r="A66" s="12" t="n"/>
      <c r="B66" s="12" t="n"/>
      <c r="C66" s="22" t="n"/>
      <c r="D66" s="12" t="n"/>
      <c r="E66" s="23" t="n"/>
      <c r="F66" s="23" t="n"/>
      <c r="G66" s="24">
        <f>IF(F66="","",F66+3)</f>
        <v/>
      </c>
      <c r="H66" s="24">
        <f>IF(F66="","",F66+7)</f>
        <v/>
      </c>
      <c r="I66" s="12" t="n"/>
      <c r="J66" s="12" t="n"/>
      <c r="K66" s="12" t="n"/>
      <c r="L66" s="24">
        <f>IF(AND(D66="Perdida",E66&lt;&gt;""),EDATE(E66,6),"")</f>
        <v/>
      </c>
    </row>
    <row r="67">
      <c r="A67" s="12" t="n"/>
      <c r="B67" s="12" t="n"/>
      <c r="C67" s="22" t="n"/>
      <c r="D67" s="12" t="n"/>
      <c r="E67" s="23" t="n"/>
      <c r="F67" s="23" t="n"/>
      <c r="G67" s="24">
        <f>IF(F67="","",F67+3)</f>
        <v/>
      </c>
      <c r="H67" s="24">
        <f>IF(F67="","",F67+7)</f>
        <v/>
      </c>
      <c r="I67" s="12" t="n"/>
      <c r="J67" s="12" t="n"/>
      <c r="K67" s="12" t="n"/>
      <c r="L67" s="24">
        <f>IF(AND(D67="Perdida",E67&lt;&gt;""),EDATE(E67,6),"")</f>
        <v/>
      </c>
    </row>
    <row r="68">
      <c r="A68" s="12" t="n"/>
      <c r="B68" s="12" t="n"/>
      <c r="C68" s="22" t="n"/>
      <c r="D68" s="12" t="n"/>
      <c r="E68" s="23" t="n"/>
      <c r="F68" s="23" t="n"/>
      <c r="G68" s="24">
        <f>IF(F68="","",F68+3)</f>
        <v/>
      </c>
      <c r="H68" s="24">
        <f>IF(F68="","",F68+7)</f>
        <v/>
      </c>
      <c r="I68" s="12" t="n"/>
      <c r="J68" s="12" t="n"/>
      <c r="K68" s="12" t="n"/>
      <c r="L68" s="24">
        <f>IF(AND(D68="Perdida",E68&lt;&gt;""),EDATE(E68,6),"")</f>
        <v/>
      </c>
    </row>
    <row r="69">
      <c r="A69" s="12" t="n"/>
      <c r="B69" s="12" t="n"/>
      <c r="C69" s="22" t="n"/>
      <c r="D69" s="12" t="n"/>
      <c r="E69" s="23" t="n"/>
      <c r="F69" s="23" t="n"/>
      <c r="G69" s="24">
        <f>IF(F69="","",F69+3)</f>
        <v/>
      </c>
      <c r="H69" s="24">
        <f>IF(F69="","",F69+7)</f>
        <v/>
      </c>
      <c r="I69" s="12" t="n"/>
      <c r="J69" s="12" t="n"/>
      <c r="K69" s="12" t="n"/>
      <c r="L69" s="24">
        <f>IF(AND(D69="Perdida",E69&lt;&gt;""),EDATE(E69,6),"")</f>
        <v/>
      </c>
    </row>
    <row r="70">
      <c r="A70" s="12" t="n"/>
      <c r="B70" s="12" t="n"/>
      <c r="C70" s="22" t="n"/>
      <c r="D70" s="12" t="n"/>
      <c r="E70" s="23" t="n"/>
      <c r="F70" s="23" t="n"/>
      <c r="G70" s="24">
        <f>IF(F70="","",F70+3)</f>
        <v/>
      </c>
      <c r="H70" s="24">
        <f>IF(F70="","",F70+7)</f>
        <v/>
      </c>
      <c r="I70" s="12" t="n"/>
      <c r="J70" s="12" t="n"/>
      <c r="K70" s="12" t="n"/>
      <c r="L70" s="24">
        <f>IF(AND(D70="Perdida",E70&lt;&gt;""),EDATE(E70,6),"")</f>
        <v/>
      </c>
    </row>
    <row r="71">
      <c r="A71" s="12" t="n"/>
      <c r="B71" s="12" t="n"/>
      <c r="C71" s="22" t="n"/>
      <c r="D71" s="12" t="n"/>
      <c r="E71" s="23" t="n"/>
      <c r="F71" s="23" t="n"/>
      <c r="G71" s="24">
        <f>IF(F71="","",F71+3)</f>
        <v/>
      </c>
      <c r="H71" s="24">
        <f>IF(F71="","",F71+7)</f>
        <v/>
      </c>
      <c r="I71" s="12" t="n"/>
      <c r="J71" s="12" t="n"/>
      <c r="K71" s="12" t="n"/>
      <c r="L71" s="24">
        <f>IF(AND(D71="Perdida",E71&lt;&gt;""),EDATE(E71,6),"")</f>
        <v/>
      </c>
    </row>
    <row r="72">
      <c r="A72" s="12" t="n"/>
      <c r="B72" s="12" t="n"/>
      <c r="C72" s="22" t="n"/>
      <c r="D72" s="12" t="n"/>
      <c r="E72" s="23" t="n"/>
      <c r="F72" s="23" t="n"/>
      <c r="G72" s="24">
        <f>IF(F72="","",F72+3)</f>
        <v/>
      </c>
      <c r="H72" s="24">
        <f>IF(F72="","",F72+7)</f>
        <v/>
      </c>
      <c r="I72" s="12" t="n"/>
      <c r="J72" s="12" t="n"/>
      <c r="K72" s="12" t="n"/>
      <c r="L72" s="24">
        <f>IF(AND(D72="Perdida",E72&lt;&gt;""),EDATE(E72,6),"")</f>
        <v/>
      </c>
    </row>
    <row r="73">
      <c r="A73" s="12" t="n"/>
      <c r="B73" s="12" t="n"/>
      <c r="C73" s="22" t="n"/>
      <c r="D73" s="12" t="n"/>
      <c r="E73" s="23" t="n"/>
      <c r="F73" s="23" t="n"/>
      <c r="G73" s="24">
        <f>IF(F73="","",F73+3)</f>
        <v/>
      </c>
      <c r="H73" s="24">
        <f>IF(F73="","",F73+7)</f>
        <v/>
      </c>
      <c r="I73" s="12" t="n"/>
      <c r="J73" s="12" t="n"/>
      <c r="K73" s="12" t="n"/>
      <c r="L73" s="24">
        <f>IF(AND(D73="Perdida",E73&lt;&gt;""),EDATE(E73,6),"")</f>
        <v/>
      </c>
    </row>
    <row r="74">
      <c r="A74" s="12" t="n"/>
      <c r="B74" s="12" t="n"/>
      <c r="C74" s="22" t="n"/>
      <c r="D74" s="12" t="n"/>
      <c r="E74" s="23" t="n"/>
      <c r="F74" s="23" t="n"/>
      <c r="G74" s="24">
        <f>IF(F74="","",F74+3)</f>
        <v/>
      </c>
      <c r="H74" s="24">
        <f>IF(F74="","",F74+7)</f>
        <v/>
      </c>
      <c r="I74" s="12" t="n"/>
      <c r="J74" s="12" t="n"/>
      <c r="K74" s="12" t="n"/>
      <c r="L74" s="24">
        <f>IF(AND(D74="Perdida",E74&lt;&gt;""),EDATE(E74,6),"")</f>
        <v/>
      </c>
    </row>
    <row r="75">
      <c r="A75" s="12" t="n"/>
      <c r="B75" s="12" t="n"/>
      <c r="C75" s="22" t="n"/>
      <c r="D75" s="12" t="n"/>
      <c r="E75" s="23" t="n"/>
      <c r="F75" s="23" t="n"/>
      <c r="G75" s="24">
        <f>IF(F75="","",F75+3)</f>
        <v/>
      </c>
      <c r="H75" s="24">
        <f>IF(F75="","",F75+7)</f>
        <v/>
      </c>
      <c r="I75" s="12" t="n"/>
      <c r="J75" s="12" t="n"/>
      <c r="K75" s="12" t="n"/>
      <c r="L75" s="24">
        <f>IF(AND(D75="Perdida",E75&lt;&gt;""),EDATE(E75,6),"")</f>
        <v/>
      </c>
    </row>
    <row r="76">
      <c r="A76" s="12" t="n"/>
      <c r="B76" s="12" t="n"/>
      <c r="C76" s="22" t="n"/>
      <c r="D76" s="12" t="n"/>
      <c r="E76" s="23" t="n"/>
      <c r="F76" s="23" t="n"/>
      <c r="G76" s="24">
        <f>IF(F76="","",F76+3)</f>
        <v/>
      </c>
      <c r="H76" s="24">
        <f>IF(F76="","",F76+7)</f>
        <v/>
      </c>
      <c r="I76" s="12" t="n"/>
      <c r="J76" s="12" t="n"/>
      <c r="K76" s="12" t="n"/>
      <c r="L76" s="24">
        <f>IF(AND(D76="Perdida",E76&lt;&gt;""),EDATE(E76,6),"")</f>
        <v/>
      </c>
    </row>
    <row r="77">
      <c r="A77" s="12" t="n"/>
      <c r="B77" s="12" t="n"/>
      <c r="C77" s="22" t="n"/>
      <c r="D77" s="12" t="n"/>
      <c r="E77" s="23" t="n"/>
      <c r="F77" s="23" t="n"/>
      <c r="G77" s="24">
        <f>IF(F77="","",F77+3)</f>
        <v/>
      </c>
      <c r="H77" s="24">
        <f>IF(F77="","",F77+7)</f>
        <v/>
      </c>
      <c r="I77" s="12" t="n"/>
      <c r="J77" s="12" t="n"/>
      <c r="K77" s="12" t="n"/>
      <c r="L77" s="24">
        <f>IF(AND(D77="Perdida",E77&lt;&gt;""),EDATE(E77,6),"")</f>
        <v/>
      </c>
    </row>
    <row r="78">
      <c r="A78" s="12" t="n"/>
      <c r="B78" s="12" t="n"/>
      <c r="C78" s="22" t="n"/>
      <c r="D78" s="12" t="n"/>
      <c r="E78" s="23" t="n"/>
      <c r="F78" s="23" t="n"/>
      <c r="G78" s="24">
        <f>IF(F78="","",F78+3)</f>
        <v/>
      </c>
      <c r="H78" s="24">
        <f>IF(F78="","",F78+7)</f>
        <v/>
      </c>
      <c r="I78" s="12" t="n"/>
      <c r="J78" s="12" t="n"/>
      <c r="K78" s="12" t="n"/>
      <c r="L78" s="24">
        <f>IF(AND(D78="Perdida",E78&lt;&gt;""),EDATE(E78,6),"")</f>
        <v/>
      </c>
    </row>
    <row r="79">
      <c r="A79" s="12" t="n"/>
      <c r="B79" s="12" t="n"/>
      <c r="C79" s="22" t="n"/>
      <c r="D79" s="12" t="n"/>
      <c r="E79" s="23" t="n"/>
      <c r="F79" s="23" t="n"/>
      <c r="G79" s="24">
        <f>IF(F79="","",F79+3)</f>
        <v/>
      </c>
      <c r="H79" s="24">
        <f>IF(F79="","",F79+7)</f>
        <v/>
      </c>
      <c r="I79" s="12" t="n"/>
      <c r="J79" s="12" t="n"/>
      <c r="K79" s="12" t="n"/>
      <c r="L79" s="24">
        <f>IF(AND(D79="Perdida",E79&lt;&gt;""),EDATE(E79,6),"")</f>
        <v/>
      </c>
    </row>
    <row r="80">
      <c r="A80" s="12" t="n"/>
      <c r="B80" s="12" t="n"/>
      <c r="C80" s="22" t="n"/>
      <c r="D80" s="12" t="n"/>
      <c r="E80" s="23" t="n"/>
      <c r="F80" s="23" t="n"/>
      <c r="G80" s="24">
        <f>IF(F80="","",F80+3)</f>
        <v/>
      </c>
      <c r="H80" s="24">
        <f>IF(F80="","",F80+7)</f>
        <v/>
      </c>
      <c r="I80" s="12" t="n"/>
      <c r="J80" s="12" t="n"/>
      <c r="K80" s="12" t="n"/>
      <c r="L80" s="24">
        <f>IF(AND(D80="Perdida",E80&lt;&gt;""),EDATE(E80,6),"")</f>
        <v/>
      </c>
    </row>
    <row r="81">
      <c r="A81" s="12" t="n"/>
      <c r="B81" s="12" t="n"/>
      <c r="C81" s="22" t="n"/>
      <c r="D81" s="12" t="n"/>
      <c r="E81" s="23" t="n"/>
      <c r="F81" s="23" t="n"/>
      <c r="G81" s="24">
        <f>IF(F81="","",F81+3)</f>
        <v/>
      </c>
      <c r="H81" s="24">
        <f>IF(F81="","",F81+7)</f>
        <v/>
      </c>
      <c r="I81" s="12" t="n"/>
      <c r="J81" s="12" t="n"/>
      <c r="K81" s="12" t="n"/>
      <c r="L81" s="24">
        <f>IF(AND(D81="Perdida",E81&lt;&gt;""),EDATE(E81,6),"")</f>
        <v/>
      </c>
    </row>
    <row r="82">
      <c r="A82" s="12" t="n"/>
      <c r="B82" s="12" t="n"/>
      <c r="C82" s="22" t="n"/>
      <c r="D82" s="12" t="n"/>
      <c r="E82" s="23" t="n"/>
      <c r="F82" s="23" t="n"/>
      <c r="G82" s="24">
        <f>IF(F82="","",F82+3)</f>
        <v/>
      </c>
      <c r="H82" s="24">
        <f>IF(F82="","",F82+7)</f>
        <v/>
      </c>
      <c r="I82" s="12" t="n"/>
      <c r="J82" s="12" t="n"/>
      <c r="K82" s="12" t="n"/>
      <c r="L82" s="24">
        <f>IF(AND(D82="Perdida",E82&lt;&gt;""),EDATE(E82,6),"")</f>
        <v/>
      </c>
    </row>
    <row r="83">
      <c r="A83" s="12" t="n"/>
      <c r="B83" s="12" t="n"/>
      <c r="C83" s="22" t="n"/>
      <c r="D83" s="12" t="n"/>
      <c r="E83" s="23" t="n"/>
      <c r="F83" s="23" t="n"/>
      <c r="G83" s="24">
        <f>IF(F83="","",F83+3)</f>
        <v/>
      </c>
      <c r="H83" s="24">
        <f>IF(F83="","",F83+7)</f>
        <v/>
      </c>
      <c r="I83" s="12" t="n"/>
      <c r="J83" s="12" t="n"/>
      <c r="K83" s="12" t="n"/>
      <c r="L83" s="24">
        <f>IF(AND(D83="Perdida",E83&lt;&gt;""),EDATE(E83,6),"")</f>
        <v/>
      </c>
    </row>
    <row r="84">
      <c r="A84" s="12" t="n"/>
      <c r="B84" s="12" t="n"/>
      <c r="C84" s="22" t="n"/>
      <c r="D84" s="12" t="n"/>
      <c r="E84" s="23" t="n"/>
      <c r="F84" s="23" t="n"/>
      <c r="G84" s="24">
        <f>IF(F84="","",F84+3)</f>
        <v/>
      </c>
      <c r="H84" s="24">
        <f>IF(F84="","",F84+7)</f>
        <v/>
      </c>
      <c r="I84" s="12" t="n"/>
      <c r="J84" s="12" t="n"/>
      <c r="K84" s="12" t="n"/>
      <c r="L84" s="24">
        <f>IF(AND(D84="Perdida",E84&lt;&gt;""),EDATE(E84,6),"")</f>
        <v/>
      </c>
    </row>
    <row r="85">
      <c r="A85" s="12" t="n"/>
      <c r="B85" s="12" t="n"/>
      <c r="C85" s="22" t="n"/>
      <c r="D85" s="12" t="n"/>
      <c r="E85" s="23" t="n"/>
      <c r="F85" s="23" t="n"/>
      <c r="G85" s="24">
        <f>IF(F85="","",F85+3)</f>
        <v/>
      </c>
      <c r="H85" s="24">
        <f>IF(F85="","",F85+7)</f>
        <v/>
      </c>
      <c r="I85" s="12" t="n"/>
      <c r="J85" s="12" t="n"/>
      <c r="K85" s="12" t="n"/>
      <c r="L85" s="24">
        <f>IF(AND(D85="Perdida",E85&lt;&gt;""),EDATE(E85,6),"")</f>
        <v/>
      </c>
    </row>
    <row r="86">
      <c r="A86" s="12" t="n"/>
      <c r="B86" s="12" t="n"/>
      <c r="C86" s="22" t="n"/>
      <c r="D86" s="12" t="n"/>
      <c r="E86" s="23" t="n"/>
      <c r="F86" s="23" t="n"/>
      <c r="G86" s="24">
        <f>IF(F86="","",F86+3)</f>
        <v/>
      </c>
      <c r="H86" s="24">
        <f>IF(F86="","",F86+7)</f>
        <v/>
      </c>
      <c r="I86" s="12" t="n"/>
      <c r="J86" s="12" t="n"/>
      <c r="K86" s="12" t="n"/>
      <c r="L86" s="24">
        <f>IF(AND(D86="Perdida",E86&lt;&gt;""),EDATE(E86,6),"")</f>
        <v/>
      </c>
    </row>
    <row r="87">
      <c r="A87" s="12" t="n"/>
      <c r="B87" s="12" t="n"/>
      <c r="C87" s="22" t="n"/>
      <c r="D87" s="12" t="n"/>
      <c r="E87" s="23" t="n"/>
      <c r="F87" s="23" t="n"/>
      <c r="G87" s="24">
        <f>IF(F87="","",F87+3)</f>
        <v/>
      </c>
      <c r="H87" s="24">
        <f>IF(F87="","",F87+7)</f>
        <v/>
      </c>
      <c r="I87" s="12" t="n"/>
      <c r="J87" s="12" t="n"/>
      <c r="K87" s="12" t="n"/>
      <c r="L87" s="24">
        <f>IF(AND(D87="Perdida",E87&lt;&gt;""),EDATE(E87,6),"")</f>
        <v/>
      </c>
    </row>
    <row r="88">
      <c r="A88" s="12" t="n"/>
      <c r="B88" s="12" t="n"/>
      <c r="C88" s="22" t="n"/>
      <c r="D88" s="12" t="n"/>
      <c r="E88" s="23" t="n"/>
      <c r="F88" s="23" t="n"/>
      <c r="G88" s="24">
        <f>IF(F88="","",F88+3)</f>
        <v/>
      </c>
      <c r="H88" s="24">
        <f>IF(F88="","",F88+7)</f>
        <v/>
      </c>
      <c r="I88" s="12" t="n"/>
      <c r="J88" s="12" t="n"/>
      <c r="K88" s="12" t="n"/>
      <c r="L88" s="24">
        <f>IF(AND(D88="Perdida",E88&lt;&gt;""),EDATE(E88,6),"")</f>
        <v/>
      </c>
    </row>
    <row r="89">
      <c r="A89" s="12" t="n"/>
      <c r="B89" s="12" t="n"/>
      <c r="C89" s="22" t="n"/>
      <c r="D89" s="12" t="n"/>
      <c r="E89" s="23" t="n"/>
      <c r="F89" s="23" t="n"/>
      <c r="G89" s="24">
        <f>IF(F89="","",F89+3)</f>
        <v/>
      </c>
      <c r="H89" s="24">
        <f>IF(F89="","",F89+7)</f>
        <v/>
      </c>
      <c r="I89" s="12" t="n"/>
      <c r="J89" s="12" t="n"/>
      <c r="K89" s="12" t="n"/>
      <c r="L89" s="24">
        <f>IF(AND(D89="Perdida",E89&lt;&gt;""),EDATE(E89,6),"")</f>
        <v/>
      </c>
    </row>
    <row r="90">
      <c r="A90" s="12" t="n"/>
      <c r="B90" s="12" t="n"/>
      <c r="C90" s="22" t="n"/>
      <c r="D90" s="12" t="n"/>
      <c r="E90" s="23" t="n"/>
      <c r="F90" s="23" t="n"/>
      <c r="G90" s="24">
        <f>IF(F90="","",F90+3)</f>
        <v/>
      </c>
      <c r="H90" s="24">
        <f>IF(F90="","",F90+7)</f>
        <v/>
      </c>
      <c r="I90" s="12" t="n"/>
      <c r="J90" s="12" t="n"/>
      <c r="K90" s="12" t="n"/>
      <c r="L90" s="24">
        <f>IF(AND(D90="Perdida",E90&lt;&gt;""),EDATE(E90,6),"")</f>
        <v/>
      </c>
    </row>
    <row r="91">
      <c r="A91" s="12" t="n"/>
      <c r="B91" s="12" t="n"/>
      <c r="C91" s="22" t="n"/>
      <c r="D91" s="12" t="n"/>
      <c r="E91" s="23" t="n"/>
      <c r="F91" s="23" t="n"/>
      <c r="G91" s="24">
        <f>IF(F91="","",F91+3)</f>
        <v/>
      </c>
      <c r="H91" s="24">
        <f>IF(F91="","",F91+7)</f>
        <v/>
      </c>
      <c r="I91" s="12" t="n"/>
      <c r="J91" s="12" t="n"/>
      <c r="K91" s="12" t="n"/>
      <c r="L91" s="24">
        <f>IF(AND(D91="Perdida",E91&lt;&gt;""),EDATE(E91,6),"")</f>
        <v/>
      </c>
    </row>
    <row r="92">
      <c r="A92" s="12" t="n"/>
      <c r="B92" s="12" t="n"/>
      <c r="C92" s="22" t="n"/>
      <c r="D92" s="12" t="n"/>
      <c r="E92" s="23" t="n"/>
      <c r="F92" s="23" t="n"/>
      <c r="G92" s="24">
        <f>IF(F92="","",F92+3)</f>
        <v/>
      </c>
      <c r="H92" s="24">
        <f>IF(F92="","",F92+7)</f>
        <v/>
      </c>
      <c r="I92" s="12" t="n"/>
      <c r="J92" s="12" t="n"/>
      <c r="K92" s="12" t="n"/>
      <c r="L92" s="24">
        <f>IF(AND(D92="Perdida",E92&lt;&gt;""),EDATE(E92,6),"")</f>
        <v/>
      </c>
    </row>
    <row r="93">
      <c r="A93" s="12" t="n"/>
      <c r="B93" s="12" t="n"/>
      <c r="C93" s="22" t="n"/>
      <c r="D93" s="12" t="n"/>
      <c r="E93" s="23" t="n"/>
      <c r="F93" s="23" t="n"/>
      <c r="G93" s="24">
        <f>IF(F93="","",F93+3)</f>
        <v/>
      </c>
      <c r="H93" s="24">
        <f>IF(F93="","",F93+7)</f>
        <v/>
      </c>
      <c r="I93" s="12" t="n"/>
      <c r="J93" s="12" t="n"/>
      <c r="K93" s="12" t="n"/>
      <c r="L93" s="24">
        <f>IF(AND(D93="Perdida",E93&lt;&gt;""),EDATE(E93,6),"")</f>
        <v/>
      </c>
    </row>
    <row r="94">
      <c r="A94" s="12" t="n"/>
      <c r="B94" s="12" t="n"/>
      <c r="C94" s="22" t="n"/>
      <c r="D94" s="12" t="n"/>
      <c r="E94" s="23" t="n"/>
      <c r="F94" s="23" t="n"/>
      <c r="G94" s="24">
        <f>IF(F94="","",F94+3)</f>
        <v/>
      </c>
      <c r="H94" s="24">
        <f>IF(F94="","",F94+7)</f>
        <v/>
      </c>
      <c r="I94" s="12" t="n"/>
      <c r="J94" s="12" t="n"/>
      <c r="K94" s="12" t="n"/>
      <c r="L94" s="24">
        <f>IF(AND(D94="Perdida",E94&lt;&gt;""),EDATE(E94,6),"")</f>
        <v/>
      </c>
    </row>
    <row r="95">
      <c r="A95" s="12" t="n"/>
      <c r="B95" s="12" t="n"/>
      <c r="C95" s="22" t="n"/>
      <c r="D95" s="12" t="n"/>
      <c r="E95" s="23" t="n"/>
      <c r="F95" s="23" t="n"/>
      <c r="G95" s="24">
        <f>IF(F95="","",F95+3)</f>
        <v/>
      </c>
      <c r="H95" s="24">
        <f>IF(F95="","",F95+7)</f>
        <v/>
      </c>
      <c r="I95" s="12" t="n"/>
      <c r="J95" s="12" t="n"/>
      <c r="K95" s="12" t="n"/>
      <c r="L95" s="24">
        <f>IF(AND(D95="Perdida",E95&lt;&gt;""),EDATE(E95,6),"")</f>
        <v/>
      </c>
    </row>
    <row r="96">
      <c r="A96" s="12" t="n"/>
      <c r="B96" s="12" t="n"/>
      <c r="C96" s="22" t="n"/>
      <c r="D96" s="12" t="n"/>
      <c r="E96" s="23" t="n"/>
      <c r="F96" s="23" t="n"/>
      <c r="G96" s="24">
        <f>IF(F96="","",F96+3)</f>
        <v/>
      </c>
      <c r="H96" s="24">
        <f>IF(F96="","",F96+7)</f>
        <v/>
      </c>
      <c r="I96" s="12" t="n"/>
      <c r="J96" s="12" t="n"/>
      <c r="K96" s="12" t="n"/>
      <c r="L96" s="24">
        <f>IF(AND(D96="Perdida",E96&lt;&gt;""),EDATE(E96,6),"")</f>
        <v/>
      </c>
    </row>
    <row r="97">
      <c r="A97" s="12" t="n"/>
      <c r="B97" s="12" t="n"/>
      <c r="C97" s="22" t="n"/>
      <c r="D97" s="12" t="n"/>
      <c r="E97" s="23" t="n"/>
      <c r="F97" s="23" t="n"/>
      <c r="G97" s="24">
        <f>IF(F97="","",F97+3)</f>
        <v/>
      </c>
      <c r="H97" s="24">
        <f>IF(F97="","",F97+7)</f>
        <v/>
      </c>
      <c r="I97" s="12" t="n"/>
      <c r="J97" s="12" t="n"/>
      <c r="K97" s="12" t="n"/>
      <c r="L97" s="24">
        <f>IF(AND(D97="Perdida",E97&lt;&gt;""),EDATE(E97,6),"")</f>
        <v/>
      </c>
    </row>
    <row r="98">
      <c r="A98" s="12" t="n"/>
      <c r="B98" s="12" t="n"/>
      <c r="C98" s="22" t="n"/>
      <c r="D98" s="12" t="n"/>
      <c r="E98" s="23" t="n"/>
      <c r="F98" s="23" t="n"/>
      <c r="G98" s="24">
        <f>IF(F98="","",F98+3)</f>
        <v/>
      </c>
      <c r="H98" s="24">
        <f>IF(F98="","",F98+7)</f>
        <v/>
      </c>
      <c r="I98" s="12" t="n"/>
      <c r="J98" s="12" t="n"/>
      <c r="K98" s="12" t="n"/>
      <c r="L98" s="24">
        <f>IF(AND(D98="Perdida",E98&lt;&gt;""),EDATE(E98,6),"")</f>
        <v/>
      </c>
    </row>
    <row r="99">
      <c r="A99" s="12" t="n"/>
      <c r="B99" s="12" t="n"/>
      <c r="C99" s="22" t="n"/>
      <c r="D99" s="12" t="n"/>
      <c r="E99" s="23" t="n"/>
      <c r="F99" s="23" t="n"/>
      <c r="G99" s="24">
        <f>IF(F99="","",F99+3)</f>
        <v/>
      </c>
      <c r="H99" s="24">
        <f>IF(F99="","",F99+7)</f>
        <v/>
      </c>
      <c r="I99" s="12" t="n"/>
      <c r="J99" s="12" t="n"/>
      <c r="K99" s="12" t="n"/>
      <c r="L99" s="24">
        <f>IF(AND(D99="Perdida",E99&lt;&gt;""),EDATE(E99,6),"")</f>
        <v/>
      </c>
    </row>
    <row r="100">
      <c r="A100" s="12" t="n"/>
      <c r="B100" s="12" t="n"/>
      <c r="C100" s="22" t="n"/>
      <c r="D100" s="12" t="n"/>
      <c r="E100" s="23" t="n"/>
      <c r="F100" s="23" t="n"/>
      <c r="G100" s="24">
        <f>IF(F100="","",F100+3)</f>
        <v/>
      </c>
      <c r="H100" s="24">
        <f>IF(F100="","",F100+7)</f>
        <v/>
      </c>
      <c r="I100" s="12" t="n"/>
      <c r="J100" s="12" t="n"/>
      <c r="K100" s="12" t="n"/>
      <c r="L100" s="24">
        <f>IF(AND(D100="Perdida",E100&lt;&gt;""),EDATE(E100,6),"")</f>
        <v/>
      </c>
    </row>
    <row r="101">
      <c r="A101" s="12" t="n"/>
      <c r="B101" s="12" t="n"/>
      <c r="C101" s="22" t="n"/>
      <c r="D101" s="12" t="n"/>
      <c r="E101" s="23" t="n"/>
      <c r="F101" s="23" t="n"/>
      <c r="G101" s="24">
        <f>IF(F101="","",F101+3)</f>
        <v/>
      </c>
      <c r="H101" s="24">
        <f>IF(F101="","",F101+7)</f>
        <v/>
      </c>
      <c r="I101" s="12" t="n"/>
      <c r="J101" s="12" t="n"/>
      <c r="K101" s="12" t="n"/>
      <c r="L101" s="24">
        <f>IF(AND(D101="Perdida",E101&lt;&gt;""),EDATE(E101,6),"")</f>
        <v/>
      </c>
    </row>
    <row r="102">
      <c r="A102" s="12" t="n"/>
      <c r="B102" s="12" t="n"/>
      <c r="C102" s="22" t="n"/>
      <c r="D102" s="12" t="n"/>
      <c r="E102" s="23" t="n"/>
      <c r="F102" s="23" t="n"/>
      <c r="G102" s="24">
        <f>IF(F102="","",F102+3)</f>
        <v/>
      </c>
      <c r="H102" s="24">
        <f>IF(F102="","",F102+7)</f>
        <v/>
      </c>
      <c r="I102" s="12" t="n"/>
      <c r="J102" s="12" t="n"/>
      <c r="K102" s="12" t="n"/>
      <c r="L102" s="24">
        <f>IF(AND(D102="Perdida",E102&lt;&gt;""),EDATE(E102,6),"")</f>
        <v/>
      </c>
    </row>
    <row r="103">
      <c r="A103" s="12" t="n"/>
      <c r="B103" s="12" t="n"/>
      <c r="C103" s="22" t="n"/>
      <c r="D103" s="12" t="n"/>
      <c r="E103" s="23" t="n"/>
      <c r="F103" s="23" t="n"/>
      <c r="G103" s="24">
        <f>IF(F103="","",F103+3)</f>
        <v/>
      </c>
      <c r="H103" s="24">
        <f>IF(F103="","",F103+7)</f>
        <v/>
      </c>
      <c r="I103" s="12" t="n"/>
      <c r="J103" s="12" t="n"/>
      <c r="K103" s="12" t="n"/>
      <c r="L103" s="24">
        <f>IF(AND(D103="Perdida",E103&lt;&gt;""),EDATE(E103,6),"")</f>
        <v/>
      </c>
    </row>
    <row r="104">
      <c r="A104" s="12" t="n"/>
      <c r="B104" s="12" t="n"/>
      <c r="C104" s="22" t="n"/>
      <c r="D104" s="12" t="n"/>
      <c r="E104" s="23" t="n"/>
      <c r="F104" s="23" t="n"/>
      <c r="G104" s="24">
        <f>IF(F104="","",F104+3)</f>
        <v/>
      </c>
      <c r="H104" s="24">
        <f>IF(F104="","",F104+7)</f>
        <v/>
      </c>
      <c r="I104" s="12" t="n"/>
      <c r="J104" s="12" t="n"/>
      <c r="K104" s="12" t="n"/>
      <c r="L104" s="24">
        <f>IF(AND(D104="Perdida",E104&lt;&gt;""),EDATE(E104,6),"")</f>
        <v/>
      </c>
    </row>
    <row r="105">
      <c r="A105" s="12" t="n"/>
      <c r="B105" s="12" t="n"/>
      <c r="C105" s="22" t="n"/>
      <c r="D105" s="12" t="n"/>
      <c r="E105" s="23" t="n"/>
      <c r="F105" s="23" t="n"/>
      <c r="G105" s="24">
        <f>IF(F105="","",F105+3)</f>
        <v/>
      </c>
      <c r="H105" s="24">
        <f>IF(F105="","",F105+7)</f>
        <v/>
      </c>
      <c r="I105" s="12" t="n"/>
      <c r="J105" s="12" t="n"/>
      <c r="K105" s="12" t="n"/>
      <c r="L105" s="24">
        <f>IF(AND(D105="Perdida",E105&lt;&gt;""),EDATE(E105,6),"")</f>
        <v/>
      </c>
    </row>
    <row r="106">
      <c r="A106" s="12" t="n"/>
      <c r="B106" s="12" t="n"/>
      <c r="C106" s="22" t="n"/>
      <c r="D106" s="12" t="n"/>
      <c r="E106" s="23" t="n"/>
      <c r="F106" s="23" t="n"/>
      <c r="G106" s="24">
        <f>IF(F106="","",F106+3)</f>
        <v/>
      </c>
      <c r="H106" s="24">
        <f>IF(F106="","",F106+7)</f>
        <v/>
      </c>
      <c r="I106" s="12" t="n"/>
      <c r="J106" s="12" t="n"/>
      <c r="K106" s="12" t="n"/>
      <c r="L106" s="24">
        <f>IF(AND(D106="Perdida",E106&lt;&gt;""),EDATE(E106,6),"")</f>
        <v/>
      </c>
    </row>
    <row r="107">
      <c r="A107" s="12" t="n"/>
      <c r="B107" s="12" t="n"/>
      <c r="C107" s="22" t="n"/>
      <c r="D107" s="12" t="n"/>
      <c r="E107" s="23" t="n"/>
      <c r="F107" s="23" t="n"/>
      <c r="G107" s="24">
        <f>IF(F107="","",F107+3)</f>
        <v/>
      </c>
      <c r="H107" s="24">
        <f>IF(F107="","",F107+7)</f>
        <v/>
      </c>
      <c r="I107" s="12" t="n"/>
      <c r="J107" s="12" t="n"/>
      <c r="K107" s="12" t="n"/>
      <c r="L107" s="24">
        <f>IF(AND(D107="Perdida",E107&lt;&gt;""),EDATE(E107,6),"")</f>
        <v/>
      </c>
    </row>
    <row r="108">
      <c r="A108" s="12" t="n"/>
      <c r="B108" s="12" t="n"/>
      <c r="C108" s="22" t="n"/>
      <c r="D108" s="12" t="n"/>
      <c r="E108" s="23" t="n"/>
      <c r="F108" s="23" t="n"/>
      <c r="G108" s="24">
        <f>IF(F108="","",F108+3)</f>
        <v/>
      </c>
      <c r="H108" s="24">
        <f>IF(F108="","",F108+7)</f>
        <v/>
      </c>
      <c r="I108" s="12" t="n"/>
      <c r="J108" s="12" t="n"/>
      <c r="K108" s="12" t="n"/>
      <c r="L108" s="24">
        <f>IF(AND(D108="Perdida",E108&lt;&gt;""),EDATE(E108,6),"")</f>
        <v/>
      </c>
    </row>
    <row r="109">
      <c r="A109" s="12" t="n"/>
      <c r="B109" s="12" t="n"/>
      <c r="C109" s="22" t="n"/>
      <c r="D109" s="12" t="n"/>
      <c r="E109" s="23" t="n"/>
      <c r="F109" s="23" t="n"/>
      <c r="G109" s="24">
        <f>IF(F109="","",F109+3)</f>
        <v/>
      </c>
      <c r="H109" s="24">
        <f>IF(F109="","",F109+7)</f>
        <v/>
      </c>
      <c r="I109" s="12" t="n"/>
      <c r="J109" s="12" t="n"/>
      <c r="K109" s="12" t="n"/>
      <c r="L109" s="24">
        <f>IF(AND(D109="Perdida",E109&lt;&gt;""),EDATE(E109,6),"")</f>
        <v/>
      </c>
    </row>
    <row r="110">
      <c r="A110" s="12" t="n"/>
      <c r="B110" s="12" t="n"/>
      <c r="C110" s="22" t="n"/>
      <c r="D110" s="12" t="n"/>
      <c r="E110" s="23" t="n"/>
      <c r="F110" s="23" t="n"/>
      <c r="G110" s="24">
        <f>IF(F110="","",F110+3)</f>
        <v/>
      </c>
      <c r="H110" s="24">
        <f>IF(F110="","",F110+7)</f>
        <v/>
      </c>
      <c r="I110" s="12" t="n"/>
      <c r="J110" s="12" t="n"/>
      <c r="K110" s="12" t="n"/>
      <c r="L110" s="24">
        <f>IF(AND(D110="Perdida",E110&lt;&gt;""),EDATE(E110,6),"")</f>
        <v/>
      </c>
    </row>
    <row r="111">
      <c r="A111" s="12" t="n"/>
      <c r="B111" s="12" t="n"/>
      <c r="C111" s="22" t="n"/>
      <c r="D111" s="12" t="n"/>
      <c r="E111" s="23" t="n"/>
      <c r="F111" s="23" t="n"/>
      <c r="G111" s="24">
        <f>IF(F111="","",F111+3)</f>
        <v/>
      </c>
      <c r="H111" s="24">
        <f>IF(F111="","",F111+7)</f>
        <v/>
      </c>
      <c r="I111" s="12" t="n"/>
      <c r="J111" s="12" t="n"/>
      <c r="K111" s="12" t="n"/>
      <c r="L111" s="24">
        <f>IF(AND(D111="Perdida",E111&lt;&gt;""),EDATE(E111,6),"")</f>
        <v/>
      </c>
    </row>
    <row r="112">
      <c r="A112" s="12" t="n"/>
      <c r="B112" s="12" t="n"/>
      <c r="C112" s="22" t="n"/>
      <c r="D112" s="12" t="n"/>
      <c r="E112" s="23" t="n"/>
      <c r="F112" s="23" t="n"/>
      <c r="G112" s="24">
        <f>IF(F112="","",F112+3)</f>
        <v/>
      </c>
      <c r="H112" s="24">
        <f>IF(F112="","",F112+7)</f>
        <v/>
      </c>
      <c r="I112" s="12" t="n"/>
      <c r="J112" s="12" t="n"/>
      <c r="K112" s="12" t="n"/>
      <c r="L112" s="24">
        <f>IF(AND(D112="Perdida",E112&lt;&gt;""),EDATE(E112,6),"")</f>
        <v/>
      </c>
    </row>
    <row r="113">
      <c r="A113" s="12" t="n"/>
      <c r="B113" s="12" t="n"/>
      <c r="C113" s="22" t="n"/>
      <c r="D113" s="12" t="n"/>
      <c r="E113" s="23" t="n"/>
      <c r="F113" s="23" t="n"/>
      <c r="G113" s="24">
        <f>IF(F113="","",F113+3)</f>
        <v/>
      </c>
      <c r="H113" s="24">
        <f>IF(F113="","",F113+7)</f>
        <v/>
      </c>
      <c r="I113" s="12" t="n"/>
      <c r="J113" s="12" t="n"/>
      <c r="K113" s="12" t="n"/>
      <c r="L113" s="24">
        <f>IF(AND(D113="Perdida",E113&lt;&gt;""),EDATE(E113,6),"")</f>
        <v/>
      </c>
    </row>
    <row r="114">
      <c r="A114" s="12" t="n"/>
      <c r="B114" s="12" t="n"/>
      <c r="C114" s="22" t="n"/>
      <c r="D114" s="12" t="n"/>
      <c r="E114" s="23" t="n"/>
      <c r="F114" s="23" t="n"/>
      <c r="G114" s="24">
        <f>IF(F114="","",F114+3)</f>
        <v/>
      </c>
      <c r="H114" s="24">
        <f>IF(F114="","",F114+7)</f>
        <v/>
      </c>
      <c r="I114" s="12" t="n"/>
      <c r="J114" s="12" t="n"/>
      <c r="K114" s="12" t="n"/>
      <c r="L114" s="24">
        <f>IF(AND(D114="Perdida",E114&lt;&gt;""),EDATE(E114,6),"")</f>
        <v/>
      </c>
    </row>
    <row r="115">
      <c r="A115" s="12" t="n"/>
      <c r="B115" s="12" t="n"/>
      <c r="C115" s="22" t="n"/>
      <c r="D115" s="12" t="n"/>
      <c r="E115" s="23" t="n"/>
      <c r="F115" s="23" t="n"/>
      <c r="G115" s="24">
        <f>IF(F115="","",F115+3)</f>
        <v/>
      </c>
      <c r="H115" s="24">
        <f>IF(F115="","",F115+7)</f>
        <v/>
      </c>
      <c r="I115" s="12" t="n"/>
      <c r="J115" s="12" t="n"/>
      <c r="K115" s="12" t="n"/>
      <c r="L115" s="24">
        <f>IF(AND(D115="Perdida",E115&lt;&gt;""),EDATE(E115,6),"")</f>
        <v/>
      </c>
    </row>
    <row r="116">
      <c r="A116" s="12" t="n"/>
      <c r="B116" s="12" t="n"/>
      <c r="C116" s="22" t="n"/>
      <c r="D116" s="12" t="n"/>
      <c r="E116" s="23" t="n"/>
      <c r="F116" s="23" t="n"/>
      <c r="G116" s="24">
        <f>IF(F116="","",F116+3)</f>
        <v/>
      </c>
      <c r="H116" s="24">
        <f>IF(F116="","",F116+7)</f>
        <v/>
      </c>
      <c r="I116" s="12" t="n"/>
      <c r="J116" s="12" t="n"/>
      <c r="K116" s="12" t="n"/>
      <c r="L116" s="24">
        <f>IF(AND(D116="Perdida",E116&lt;&gt;""),EDATE(E116,6),"")</f>
        <v/>
      </c>
    </row>
    <row r="117">
      <c r="A117" s="12" t="n"/>
      <c r="B117" s="12" t="n"/>
      <c r="C117" s="22" t="n"/>
      <c r="D117" s="12" t="n"/>
      <c r="E117" s="23" t="n"/>
      <c r="F117" s="23" t="n"/>
      <c r="G117" s="24">
        <f>IF(F117="","",F117+3)</f>
        <v/>
      </c>
      <c r="H117" s="24">
        <f>IF(F117="","",F117+7)</f>
        <v/>
      </c>
      <c r="I117" s="12" t="n"/>
      <c r="J117" s="12" t="n"/>
      <c r="K117" s="12" t="n"/>
      <c r="L117" s="24">
        <f>IF(AND(D117="Perdida",E117&lt;&gt;""),EDATE(E117,6),"")</f>
        <v/>
      </c>
    </row>
    <row r="118">
      <c r="A118" s="12" t="n"/>
      <c r="B118" s="12" t="n"/>
      <c r="C118" s="22" t="n"/>
      <c r="D118" s="12" t="n"/>
      <c r="E118" s="23" t="n"/>
      <c r="F118" s="23" t="n"/>
      <c r="G118" s="24">
        <f>IF(F118="","",F118+3)</f>
        <v/>
      </c>
      <c r="H118" s="24">
        <f>IF(F118="","",F118+7)</f>
        <v/>
      </c>
      <c r="I118" s="12" t="n"/>
      <c r="J118" s="12" t="n"/>
      <c r="K118" s="12" t="n"/>
      <c r="L118" s="24">
        <f>IF(AND(D118="Perdida",E118&lt;&gt;""),EDATE(E118,6),"")</f>
        <v/>
      </c>
    </row>
    <row r="119">
      <c r="A119" s="12" t="n"/>
      <c r="B119" s="12" t="n"/>
      <c r="C119" s="22" t="n"/>
      <c r="D119" s="12" t="n"/>
      <c r="E119" s="23" t="n"/>
      <c r="F119" s="23" t="n"/>
      <c r="G119" s="24">
        <f>IF(F119="","",F119+3)</f>
        <v/>
      </c>
      <c r="H119" s="24">
        <f>IF(F119="","",F119+7)</f>
        <v/>
      </c>
      <c r="I119" s="12" t="n"/>
      <c r="J119" s="12" t="n"/>
      <c r="K119" s="12" t="n"/>
      <c r="L119" s="24">
        <f>IF(AND(D119="Perdida",E119&lt;&gt;""),EDATE(E119,6),"")</f>
        <v/>
      </c>
    </row>
    <row r="120">
      <c r="A120" s="12" t="n"/>
      <c r="B120" s="12" t="n"/>
      <c r="C120" s="22" t="n"/>
      <c r="D120" s="12" t="n"/>
      <c r="E120" s="23" t="n"/>
      <c r="F120" s="23" t="n"/>
      <c r="G120" s="24">
        <f>IF(F120="","",F120+3)</f>
        <v/>
      </c>
      <c r="H120" s="24">
        <f>IF(F120="","",F120+7)</f>
        <v/>
      </c>
      <c r="I120" s="12" t="n"/>
      <c r="J120" s="12" t="n"/>
      <c r="K120" s="12" t="n"/>
      <c r="L120" s="24">
        <f>IF(AND(D120="Perdida",E120&lt;&gt;""),EDATE(E120,6),"")</f>
        <v/>
      </c>
    </row>
    <row r="121">
      <c r="A121" s="12" t="n"/>
      <c r="B121" s="12" t="n"/>
      <c r="C121" s="22" t="n"/>
      <c r="D121" s="12" t="n"/>
      <c r="E121" s="23" t="n"/>
      <c r="F121" s="23" t="n"/>
      <c r="G121" s="24">
        <f>IF(F121="","",F121+3)</f>
        <v/>
      </c>
      <c r="H121" s="24">
        <f>IF(F121="","",F121+7)</f>
        <v/>
      </c>
      <c r="I121" s="12" t="n"/>
      <c r="J121" s="12" t="n"/>
      <c r="K121" s="12" t="n"/>
      <c r="L121" s="24">
        <f>IF(AND(D121="Perdida",E121&lt;&gt;""),EDATE(E121,6),"")</f>
        <v/>
      </c>
    </row>
    <row r="122">
      <c r="A122" s="12" t="n"/>
      <c r="B122" s="12" t="n"/>
      <c r="C122" s="22" t="n"/>
      <c r="D122" s="12" t="n"/>
      <c r="E122" s="23" t="n"/>
      <c r="F122" s="23" t="n"/>
      <c r="G122" s="24">
        <f>IF(F122="","",F122+3)</f>
        <v/>
      </c>
      <c r="H122" s="24">
        <f>IF(F122="","",F122+7)</f>
        <v/>
      </c>
      <c r="I122" s="12" t="n"/>
      <c r="J122" s="12" t="n"/>
      <c r="K122" s="12" t="n"/>
      <c r="L122" s="24">
        <f>IF(AND(D122="Perdida",E122&lt;&gt;""),EDATE(E122,6),"")</f>
        <v/>
      </c>
    </row>
    <row r="123">
      <c r="A123" s="12" t="n"/>
      <c r="B123" s="12" t="n"/>
      <c r="C123" s="22" t="n"/>
      <c r="D123" s="12" t="n"/>
      <c r="E123" s="23" t="n"/>
      <c r="F123" s="23" t="n"/>
      <c r="G123" s="24">
        <f>IF(F123="","",F123+3)</f>
        <v/>
      </c>
      <c r="H123" s="24">
        <f>IF(F123="","",F123+7)</f>
        <v/>
      </c>
      <c r="I123" s="12" t="n"/>
      <c r="J123" s="12" t="n"/>
      <c r="K123" s="12" t="n"/>
      <c r="L123" s="24">
        <f>IF(AND(D123="Perdida",E123&lt;&gt;""),EDATE(E123,6),"")</f>
        <v/>
      </c>
    </row>
    <row r="124">
      <c r="A124" s="12" t="n"/>
      <c r="B124" s="12" t="n"/>
      <c r="C124" s="22" t="n"/>
      <c r="D124" s="12" t="n"/>
      <c r="E124" s="23" t="n"/>
      <c r="F124" s="23" t="n"/>
      <c r="G124" s="24">
        <f>IF(F124="","",F124+3)</f>
        <v/>
      </c>
      <c r="H124" s="24">
        <f>IF(F124="","",F124+7)</f>
        <v/>
      </c>
      <c r="I124" s="12" t="n"/>
      <c r="J124" s="12" t="n"/>
      <c r="K124" s="12" t="n"/>
      <c r="L124" s="24">
        <f>IF(AND(D124="Perdida",E124&lt;&gt;""),EDATE(E124,6),"")</f>
        <v/>
      </c>
    </row>
    <row r="125">
      <c r="A125" s="12" t="n"/>
      <c r="B125" s="12" t="n"/>
      <c r="C125" s="22" t="n"/>
      <c r="D125" s="12" t="n"/>
      <c r="E125" s="23" t="n"/>
      <c r="F125" s="23" t="n"/>
      <c r="G125" s="24">
        <f>IF(F125="","",F125+3)</f>
        <v/>
      </c>
      <c r="H125" s="24">
        <f>IF(F125="","",F125+7)</f>
        <v/>
      </c>
      <c r="I125" s="12" t="n"/>
      <c r="J125" s="12" t="n"/>
      <c r="K125" s="12" t="n"/>
      <c r="L125" s="24">
        <f>IF(AND(D125="Perdida",E125&lt;&gt;""),EDATE(E125,6),"")</f>
        <v/>
      </c>
    </row>
    <row r="126">
      <c r="A126" s="12" t="n"/>
      <c r="B126" s="12" t="n"/>
      <c r="C126" s="22" t="n"/>
      <c r="D126" s="12" t="n"/>
      <c r="E126" s="23" t="n"/>
      <c r="F126" s="23" t="n"/>
      <c r="G126" s="24">
        <f>IF(F126="","",F126+3)</f>
        <v/>
      </c>
      <c r="H126" s="24">
        <f>IF(F126="","",F126+7)</f>
        <v/>
      </c>
      <c r="I126" s="12" t="n"/>
      <c r="J126" s="12" t="n"/>
      <c r="K126" s="12" t="n"/>
      <c r="L126" s="24">
        <f>IF(AND(D126="Perdida",E126&lt;&gt;""),EDATE(E126,6),"")</f>
        <v/>
      </c>
    </row>
    <row r="127">
      <c r="A127" s="12" t="n"/>
      <c r="B127" s="12" t="n"/>
      <c r="C127" s="22" t="n"/>
      <c r="D127" s="12" t="n"/>
      <c r="E127" s="23" t="n"/>
      <c r="F127" s="23" t="n"/>
      <c r="G127" s="24">
        <f>IF(F127="","",F127+3)</f>
        <v/>
      </c>
      <c r="H127" s="24">
        <f>IF(F127="","",F127+7)</f>
        <v/>
      </c>
      <c r="I127" s="12" t="n"/>
      <c r="J127" s="12" t="n"/>
      <c r="K127" s="12" t="n"/>
      <c r="L127" s="24">
        <f>IF(AND(D127="Perdida",E127&lt;&gt;""),EDATE(E127,6),"")</f>
        <v/>
      </c>
    </row>
    <row r="128">
      <c r="A128" s="12" t="n"/>
      <c r="B128" s="12" t="n"/>
      <c r="C128" s="22" t="n"/>
      <c r="D128" s="12" t="n"/>
      <c r="E128" s="23" t="n"/>
      <c r="F128" s="23" t="n"/>
      <c r="G128" s="24">
        <f>IF(F128="","",F128+3)</f>
        <v/>
      </c>
      <c r="H128" s="24">
        <f>IF(F128="","",F128+7)</f>
        <v/>
      </c>
      <c r="I128" s="12" t="n"/>
      <c r="J128" s="12" t="n"/>
      <c r="K128" s="12" t="n"/>
      <c r="L128" s="24">
        <f>IF(AND(D128="Perdida",E128&lt;&gt;""),EDATE(E128,6),"")</f>
        <v/>
      </c>
    </row>
    <row r="129">
      <c r="A129" s="12" t="n"/>
      <c r="B129" s="12" t="n"/>
      <c r="C129" s="22" t="n"/>
      <c r="D129" s="12" t="n"/>
      <c r="E129" s="23" t="n"/>
      <c r="F129" s="23" t="n"/>
      <c r="G129" s="24">
        <f>IF(F129="","",F129+3)</f>
        <v/>
      </c>
      <c r="H129" s="24">
        <f>IF(F129="","",F129+7)</f>
        <v/>
      </c>
      <c r="I129" s="12" t="n"/>
      <c r="J129" s="12" t="n"/>
      <c r="K129" s="12" t="n"/>
      <c r="L129" s="24">
        <f>IF(AND(D129="Perdida",E129&lt;&gt;""),EDATE(E129,6),"")</f>
        <v/>
      </c>
    </row>
    <row r="130">
      <c r="A130" s="12" t="n"/>
      <c r="B130" s="12" t="n"/>
      <c r="C130" s="22" t="n"/>
      <c r="D130" s="12" t="n"/>
      <c r="E130" s="23" t="n"/>
      <c r="F130" s="23" t="n"/>
      <c r="G130" s="24">
        <f>IF(F130="","",F130+3)</f>
        <v/>
      </c>
      <c r="H130" s="24">
        <f>IF(F130="","",F130+7)</f>
        <v/>
      </c>
      <c r="I130" s="12" t="n"/>
      <c r="J130" s="12" t="n"/>
      <c r="K130" s="12" t="n"/>
      <c r="L130" s="24">
        <f>IF(AND(D130="Perdida",E130&lt;&gt;""),EDATE(E130,6),"")</f>
        <v/>
      </c>
    </row>
    <row r="131">
      <c r="A131" s="12" t="n"/>
      <c r="B131" s="12" t="n"/>
      <c r="C131" s="22" t="n"/>
      <c r="D131" s="12" t="n"/>
      <c r="E131" s="23" t="n"/>
      <c r="F131" s="23" t="n"/>
      <c r="G131" s="24">
        <f>IF(F131="","",F131+3)</f>
        <v/>
      </c>
      <c r="H131" s="24">
        <f>IF(F131="","",F131+7)</f>
        <v/>
      </c>
      <c r="I131" s="12" t="n"/>
      <c r="J131" s="12" t="n"/>
      <c r="K131" s="12" t="n"/>
      <c r="L131" s="24">
        <f>IF(AND(D131="Perdida",E131&lt;&gt;""),EDATE(E131,6),"")</f>
        <v/>
      </c>
    </row>
    <row r="132">
      <c r="A132" s="12" t="n"/>
      <c r="B132" s="12" t="n"/>
      <c r="C132" s="22" t="n"/>
      <c r="D132" s="12" t="n"/>
      <c r="E132" s="23" t="n"/>
      <c r="F132" s="23" t="n"/>
      <c r="G132" s="24">
        <f>IF(F132="","",F132+3)</f>
        <v/>
      </c>
      <c r="H132" s="24">
        <f>IF(F132="","",F132+7)</f>
        <v/>
      </c>
      <c r="I132" s="12" t="n"/>
      <c r="J132" s="12" t="n"/>
      <c r="K132" s="12" t="n"/>
      <c r="L132" s="24">
        <f>IF(AND(D132="Perdida",E132&lt;&gt;""),EDATE(E132,6),"")</f>
        <v/>
      </c>
    </row>
    <row r="133">
      <c r="A133" s="12" t="n"/>
      <c r="B133" s="12" t="n"/>
      <c r="C133" s="22" t="n"/>
      <c r="D133" s="12" t="n"/>
      <c r="E133" s="23" t="n"/>
      <c r="F133" s="23" t="n"/>
      <c r="G133" s="24">
        <f>IF(F133="","",F133+3)</f>
        <v/>
      </c>
      <c r="H133" s="24">
        <f>IF(F133="","",F133+7)</f>
        <v/>
      </c>
      <c r="I133" s="12" t="n"/>
      <c r="J133" s="12" t="n"/>
      <c r="K133" s="12" t="n"/>
      <c r="L133" s="24">
        <f>IF(AND(D133="Perdida",E133&lt;&gt;""),EDATE(E133,6),"")</f>
        <v/>
      </c>
    </row>
    <row r="134">
      <c r="A134" s="12" t="n"/>
      <c r="B134" s="12" t="n"/>
      <c r="C134" s="22" t="n"/>
      <c r="D134" s="12" t="n"/>
      <c r="E134" s="23" t="n"/>
      <c r="F134" s="23" t="n"/>
      <c r="G134" s="24">
        <f>IF(F134="","",F134+3)</f>
        <v/>
      </c>
      <c r="H134" s="24">
        <f>IF(F134="","",F134+7)</f>
        <v/>
      </c>
      <c r="I134" s="12" t="n"/>
      <c r="J134" s="12" t="n"/>
      <c r="K134" s="12" t="n"/>
      <c r="L134" s="24">
        <f>IF(AND(D134="Perdida",E134&lt;&gt;""),EDATE(E134,6),"")</f>
        <v/>
      </c>
    </row>
    <row r="135">
      <c r="A135" s="12" t="n"/>
      <c r="B135" s="12" t="n"/>
      <c r="C135" s="22" t="n"/>
      <c r="D135" s="12" t="n"/>
      <c r="E135" s="23" t="n"/>
      <c r="F135" s="23" t="n"/>
      <c r="G135" s="24">
        <f>IF(F135="","",F135+3)</f>
        <v/>
      </c>
      <c r="H135" s="24">
        <f>IF(F135="","",F135+7)</f>
        <v/>
      </c>
      <c r="I135" s="12" t="n"/>
      <c r="J135" s="12" t="n"/>
      <c r="K135" s="12" t="n"/>
      <c r="L135" s="24">
        <f>IF(AND(D135="Perdida",E135&lt;&gt;""),EDATE(E135,6),"")</f>
        <v/>
      </c>
    </row>
    <row r="136">
      <c r="A136" s="12" t="n"/>
      <c r="B136" s="12" t="n"/>
      <c r="C136" s="22" t="n"/>
      <c r="D136" s="12" t="n"/>
      <c r="E136" s="23" t="n"/>
      <c r="F136" s="23" t="n"/>
      <c r="G136" s="24">
        <f>IF(F136="","",F136+3)</f>
        <v/>
      </c>
      <c r="H136" s="24">
        <f>IF(F136="","",F136+7)</f>
        <v/>
      </c>
      <c r="I136" s="12" t="n"/>
      <c r="J136" s="12" t="n"/>
      <c r="K136" s="12" t="n"/>
      <c r="L136" s="24">
        <f>IF(AND(D136="Perdida",E136&lt;&gt;""),EDATE(E136,6),"")</f>
        <v/>
      </c>
    </row>
    <row r="137">
      <c r="A137" s="12" t="n"/>
      <c r="B137" s="12" t="n"/>
      <c r="C137" s="22" t="n"/>
      <c r="D137" s="12" t="n"/>
      <c r="E137" s="23" t="n"/>
      <c r="F137" s="23" t="n"/>
      <c r="G137" s="24">
        <f>IF(F137="","",F137+3)</f>
        <v/>
      </c>
      <c r="H137" s="24">
        <f>IF(F137="","",F137+7)</f>
        <v/>
      </c>
      <c r="I137" s="12" t="n"/>
      <c r="J137" s="12" t="n"/>
      <c r="K137" s="12" t="n"/>
      <c r="L137" s="24">
        <f>IF(AND(D137="Perdida",E137&lt;&gt;""),EDATE(E137,6),"")</f>
        <v/>
      </c>
    </row>
    <row r="138">
      <c r="A138" s="12" t="n"/>
      <c r="B138" s="12" t="n"/>
      <c r="C138" s="22" t="n"/>
      <c r="D138" s="12" t="n"/>
      <c r="E138" s="23" t="n"/>
      <c r="F138" s="23" t="n"/>
      <c r="G138" s="24">
        <f>IF(F138="","",F138+3)</f>
        <v/>
      </c>
      <c r="H138" s="24">
        <f>IF(F138="","",F138+7)</f>
        <v/>
      </c>
      <c r="I138" s="12" t="n"/>
      <c r="J138" s="12" t="n"/>
      <c r="K138" s="12" t="n"/>
      <c r="L138" s="24">
        <f>IF(AND(D138="Perdida",E138&lt;&gt;""),EDATE(E138,6),"")</f>
        <v/>
      </c>
    </row>
    <row r="139">
      <c r="A139" s="12" t="n"/>
      <c r="B139" s="12" t="n"/>
      <c r="C139" s="22" t="n"/>
      <c r="D139" s="12" t="n"/>
      <c r="E139" s="23" t="n"/>
      <c r="F139" s="23" t="n"/>
      <c r="G139" s="24">
        <f>IF(F139="","",F139+3)</f>
        <v/>
      </c>
      <c r="H139" s="24">
        <f>IF(F139="","",F139+7)</f>
        <v/>
      </c>
      <c r="I139" s="12" t="n"/>
      <c r="J139" s="12" t="n"/>
      <c r="K139" s="12" t="n"/>
      <c r="L139" s="24">
        <f>IF(AND(D139="Perdida",E139&lt;&gt;""),EDATE(E139,6),"")</f>
        <v/>
      </c>
    </row>
    <row r="140">
      <c r="A140" s="12" t="n"/>
      <c r="B140" s="12" t="n"/>
      <c r="C140" s="22" t="n"/>
      <c r="D140" s="12" t="n"/>
      <c r="E140" s="23" t="n"/>
      <c r="F140" s="23" t="n"/>
      <c r="G140" s="24">
        <f>IF(F140="","",F140+3)</f>
        <v/>
      </c>
      <c r="H140" s="24">
        <f>IF(F140="","",F140+7)</f>
        <v/>
      </c>
      <c r="I140" s="12" t="n"/>
      <c r="J140" s="12" t="n"/>
      <c r="K140" s="12" t="n"/>
      <c r="L140" s="24">
        <f>IF(AND(D140="Perdida",E140&lt;&gt;""),EDATE(E140,6),"")</f>
        <v/>
      </c>
    </row>
    <row r="141">
      <c r="A141" s="12" t="n"/>
      <c r="B141" s="12" t="n"/>
      <c r="C141" s="22" t="n"/>
      <c r="D141" s="12" t="n"/>
      <c r="E141" s="23" t="n"/>
      <c r="F141" s="23" t="n"/>
      <c r="G141" s="24">
        <f>IF(F141="","",F141+3)</f>
        <v/>
      </c>
      <c r="H141" s="24">
        <f>IF(F141="","",F141+7)</f>
        <v/>
      </c>
      <c r="I141" s="12" t="n"/>
      <c r="J141" s="12" t="n"/>
      <c r="K141" s="12" t="n"/>
      <c r="L141" s="24">
        <f>IF(AND(D141="Perdida",E141&lt;&gt;""),EDATE(E141,6),"")</f>
        <v/>
      </c>
    </row>
    <row r="142">
      <c r="A142" s="12" t="n"/>
      <c r="B142" s="12" t="n"/>
      <c r="C142" s="22" t="n"/>
      <c r="D142" s="12" t="n"/>
      <c r="E142" s="23" t="n"/>
      <c r="F142" s="23" t="n"/>
      <c r="G142" s="24">
        <f>IF(F142="","",F142+3)</f>
        <v/>
      </c>
      <c r="H142" s="24">
        <f>IF(F142="","",F142+7)</f>
        <v/>
      </c>
      <c r="I142" s="12" t="n"/>
      <c r="J142" s="12" t="n"/>
      <c r="K142" s="12" t="n"/>
      <c r="L142" s="24">
        <f>IF(AND(D142="Perdida",E142&lt;&gt;""),EDATE(E142,6),"")</f>
        <v/>
      </c>
    </row>
    <row r="143">
      <c r="A143" s="12" t="n"/>
      <c r="B143" s="12" t="n"/>
      <c r="C143" s="22" t="n"/>
      <c r="D143" s="12" t="n"/>
      <c r="E143" s="23" t="n"/>
      <c r="F143" s="23" t="n"/>
      <c r="G143" s="24">
        <f>IF(F143="","",F143+3)</f>
        <v/>
      </c>
      <c r="H143" s="24">
        <f>IF(F143="","",F143+7)</f>
        <v/>
      </c>
      <c r="I143" s="12" t="n"/>
      <c r="J143" s="12" t="n"/>
      <c r="K143" s="12" t="n"/>
      <c r="L143" s="24">
        <f>IF(AND(D143="Perdida",E143&lt;&gt;""),EDATE(E143,6),"")</f>
        <v/>
      </c>
    </row>
    <row r="144">
      <c r="A144" s="12" t="n"/>
      <c r="B144" s="12" t="n"/>
      <c r="C144" s="22" t="n"/>
      <c r="D144" s="12" t="n"/>
      <c r="E144" s="23" t="n"/>
      <c r="F144" s="23" t="n"/>
      <c r="G144" s="24">
        <f>IF(F144="","",F144+3)</f>
        <v/>
      </c>
      <c r="H144" s="24">
        <f>IF(F144="","",F144+7)</f>
        <v/>
      </c>
      <c r="I144" s="12" t="n"/>
      <c r="J144" s="12" t="n"/>
      <c r="K144" s="12" t="n"/>
      <c r="L144" s="24">
        <f>IF(AND(D144="Perdida",E144&lt;&gt;""),EDATE(E144,6),"")</f>
        <v/>
      </c>
    </row>
    <row r="145">
      <c r="A145" s="12" t="n"/>
      <c r="B145" s="12" t="n"/>
      <c r="C145" s="22" t="n"/>
      <c r="D145" s="12" t="n"/>
      <c r="E145" s="23" t="n"/>
      <c r="F145" s="23" t="n"/>
      <c r="G145" s="24">
        <f>IF(F145="","",F145+3)</f>
        <v/>
      </c>
      <c r="H145" s="24">
        <f>IF(F145="","",F145+7)</f>
        <v/>
      </c>
      <c r="I145" s="12" t="n"/>
      <c r="J145" s="12" t="n"/>
      <c r="K145" s="12" t="n"/>
      <c r="L145" s="24">
        <f>IF(AND(D145="Perdida",E145&lt;&gt;""),EDATE(E145,6),"")</f>
        <v/>
      </c>
    </row>
    <row r="146">
      <c r="A146" s="12" t="n"/>
      <c r="B146" s="12" t="n"/>
      <c r="C146" s="22" t="n"/>
      <c r="D146" s="12" t="n"/>
      <c r="E146" s="23" t="n"/>
      <c r="F146" s="23" t="n"/>
      <c r="G146" s="24">
        <f>IF(F146="","",F146+3)</f>
        <v/>
      </c>
      <c r="H146" s="24">
        <f>IF(F146="","",F146+7)</f>
        <v/>
      </c>
      <c r="I146" s="12" t="n"/>
      <c r="J146" s="12" t="n"/>
      <c r="K146" s="12" t="n"/>
      <c r="L146" s="24">
        <f>IF(AND(D146="Perdida",E146&lt;&gt;""),EDATE(E146,6),"")</f>
        <v/>
      </c>
    </row>
    <row r="147">
      <c r="A147" s="12" t="n"/>
      <c r="B147" s="12" t="n"/>
      <c r="C147" s="22" t="n"/>
      <c r="D147" s="12" t="n"/>
      <c r="E147" s="23" t="n"/>
      <c r="F147" s="23" t="n"/>
      <c r="G147" s="24">
        <f>IF(F147="","",F147+3)</f>
        <v/>
      </c>
      <c r="H147" s="24">
        <f>IF(F147="","",F147+7)</f>
        <v/>
      </c>
      <c r="I147" s="12" t="n"/>
      <c r="J147" s="12" t="n"/>
      <c r="K147" s="12" t="n"/>
      <c r="L147" s="24">
        <f>IF(AND(D147="Perdida",E147&lt;&gt;""),EDATE(E147,6),"")</f>
        <v/>
      </c>
    </row>
    <row r="148">
      <c r="A148" s="12" t="n"/>
      <c r="B148" s="12" t="n"/>
      <c r="C148" s="22" t="n"/>
      <c r="D148" s="12" t="n"/>
      <c r="E148" s="23" t="n"/>
      <c r="F148" s="23" t="n"/>
      <c r="G148" s="24">
        <f>IF(F148="","",F148+3)</f>
        <v/>
      </c>
      <c r="H148" s="24">
        <f>IF(F148="","",F148+7)</f>
        <v/>
      </c>
      <c r="I148" s="12" t="n"/>
      <c r="J148" s="12" t="n"/>
      <c r="K148" s="12" t="n"/>
      <c r="L148" s="24">
        <f>IF(AND(D148="Perdida",E148&lt;&gt;""),EDATE(E148,6),"")</f>
        <v/>
      </c>
    </row>
    <row r="149">
      <c r="A149" s="12" t="n"/>
      <c r="B149" s="12" t="n"/>
      <c r="C149" s="22" t="n"/>
      <c r="D149" s="12" t="n"/>
      <c r="E149" s="23" t="n"/>
      <c r="F149" s="23" t="n"/>
      <c r="G149" s="24">
        <f>IF(F149="","",F149+3)</f>
        <v/>
      </c>
      <c r="H149" s="24">
        <f>IF(F149="","",F149+7)</f>
        <v/>
      </c>
      <c r="I149" s="12" t="n"/>
      <c r="J149" s="12" t="n"/>
      <c r="K149" s="12" t="n"/>
      <c r="L149" s="24">
        <f>IF(AND(D149="Perdida",E149&lt;&gt;""),EDATE(E149,6),"")</f>
        <v/>
      </c>
    </row>
    <row r="150">
      <c r="A150" s="12" t="n"/>
      <c r="B150" s="12" t="n"/>
      <c r="C150" s="22" t="n"/>
      <c r="D150" s="12" t="n"/>
      <c r="E150" s="23" t="n"/>
      <c r="F150" s="23" t="n"/>
      <c r="G150" s="24">
        <f>IF(F150="","",F150+3)</f>
        <v/>
      </c>
      <c r="H150" s="24">
        <f>IF(F150="","",F150+7)</f>
        <v/>
      </c>
      <c r="I150" s="12" t="n"/>
      <c r="J150" s="12" t="n"/>
      <c r="K150" s="12" t="n"/>
      <c r="L150" s="24">
        <f>IF(AND(D150="Perdida",E150&lt;&gt;""),EDATE(E150,6),"")</f>
        <v/>
      </c>
    </row>
    <row r="151">
      <c r="A151" s="12" t="n"/>
      <c r="B151" s="12" t="n"/>
      <c r="C151" s="22" t="n"/>
      <c r="D151" s="12" t="n"/>
      <c r="E151" s="23" t="n"/>
      <c r="F151" s="23" t="n"/>
      <c r="G151" s="24">
        <f>IF(F151="","",F151+3)</f>
        <v/>
      </c>
      <c r="H151" s="24">
        <f>IF(F151="","",F151+7)</f>
        <v/>
      </c>
      <c r="I151" s="12" t="n"/>
      <c r="J151" s="12" t="n"/>
      <c r="K151" s="12" t="n"/>
      <c r="L151" s="24">
        <f>IF(AND(D151="Perdida",E151&lt;&gt;""),EDATE(E151,6),"")</f>
        <v/>
      </c>
    </row>
    <row r="152">
      <c r="A152" s="12" t="n"/>
      <c r="B152" s="12" t="n"/>
      <c r="C152" s="22" t="n"/>
      <c r="D152" s="12" t="n"/>
      <c r="E152" s="23" t="n"/>
      <c r="F152" s="23" t="n"/>
      <c r="G152" s="24">
        <f>IF(F152="","",F152+3)</f>
        <v/>
      </c>
      <c r="H152" s="24">
        <f>IF(F152="","",F152+7)</f>
        <v/>
      </c>
      <c r="I152" s="12" t="n"/>
      <c r="J152" s="12" t="n"/>
      <c r="K152" s="12" t="n"/>
      <c r="L152" s="24">
        <f>IF(AND(D152="Perdida",E152&lt;&gt;""),EDATE(E152,6),"")</f>
        <v/>
      </c>
    </row>
    <row r="153">
      <c r="A153" s="12" t="n"/>
      <c r="B153" s="12" t="n"/>
      <c r="C153" s="22" t="n"/>
      <c r="D153" s="12" t="n"/>
      <c r="E153" s="23" t="n"/>
      <c r="F153" s="23" t="n"/>
      <c r="G153" s="24">
        <f>IF(F153="","",F153+3)</f>
        <v/>
      </c>
      <c r="H153" s="24">
        <f>IF(F153="","",F153+7)</f>
        <v/>
      </c>
      <c r="I153" s="12" t="n"/>
      <c r="J153" s="12" t="n"/>
      <c r="K153" s="12" t="n"/>
      <c r="L153" s="24">
        <f>IF(AND(D153="Perdida",E153&lt;&gt;""),EDATE(E153,6),"")</f>
        <v/>
      </c>
    </row>
    <row r="154">
      <c r="A154" s="12" t="n"/>
      <c r="B154" s="12" t="n"/>
      <c r="C154" s="22" t="n"/>
      <c r="D154" s="12" t="n"/>
      <c r="E154" s="23" t="n"/>
      <c r="F154" s="23" t="n"/>
      <c r="G154" s="24">
        <f>IF(F154="","",F154+3)</f>
        <v/>
      </c>
      <c r="H154" s="24">
        <f>IF(F154="","",F154+7)</f>
        <v/>
      </c>
      <c r="I154" s="12" t="n"/>
      <c r="J154" s="12" t="n"/>
      <c r="K154" s="12" t="n"/>
      <c r="L154" s="24">
        <f>IF(AND(D154="Perdida",E154&lt;&gt;""),EDATE(E154,6),"")</f>
        <v/>
      </c>
    </row>
    <row r="155">
      <c r="A155" s="12" t="n"/>
      <c r="B155" s="12" t="n"/>
      <c r="C155" s="22" t="n"/>
      <c r="D155" s="12" t="n"/>
      <c r="E155" s="23" t="n"/>
      <c r="F155" s="23" t="n"/>
      <c r="G155" s="24">
        <f>IF(F155="","",F155+3)</f>
        <v/>
      </c>
      <c r="H155" s="24">
        <f>IF(F155="","",F155+7)</f>
        <v/>
      </c>
      <c r="I155" s="12" t="n"/>
      <c r="J155" s="12" t="n"/>
      <c r="K155" s="12" t="n"/>
      <c r="L155" s="24">
        <f>IF(AND(D155="Perdida",E155&lt;&gt;""),EDATE(E155,6),"")</f>
        <v/>
      </c>
    </row>
    <row r="156">
      <c r="A156" s="12" t="n"/>
      <c r="B156" s="12" t="n"/>
      <c r="C156" s="22" t="n"/>
      <c r="D156" s="12" t="n"/>
      <c r="E156" s="23" t="n"/>
      <c r="F156" s="23" t="n"/>
      <c r="G156" s="24">
        <f>IF(F156="","",F156+3)</f>
        <v/>
      </c>
      <c r="H156" s="24">
        <f>IF(F156="","",F156+7)</f>
        <v/>
      </c>
      <c r="I156" s="12" t="n"/>
      <c r="J156" s="12" t="n"/>
      <c r="K156" s="12" t="n"/>
      <c r="L156" s="24">
        <f>IF(AND(D156="Perdida",E156&lt;&gt;""),EDATE(E156,6),"")</f>
        <v/>
      </c>
    </row>
    <row r="157">
      <c r="A157" s="12" t="n"/>
      <c r="B157" s="12" t="n"/>
      <c r="C157" s="22" t="n"/>
      <c r="D157" s="12" t="n"/>
      <c r="E157" s="23" t="n"/>
      <c r="F157" s="23" t="n"/>
      <c r="G157" s="24">
        <f>IF(F157="","",F157+3)</f>
        <v/>
      </c>
      <c r="H157" s="24">
        <f>IF(F157="","",F157+7)</f>
        <v/>
      </c>
      <c r="I157" s="12" t="n"/>
      <c r="J157" s="12" t="n"/>
      <c r="K157" s="12" t="n"/>
      <c r="L157" s="24">
        <f>IF(AND(D157="Perdida",E157&lt;&gt;""),EDATE(E157,6),"")</f>
        <v/>
      </c>
    </row>
    <row r="158">
      <c r="A158" s="12" t="n"/>
      <c r="B158" s="12" t="n"/>
      <c r="C158" s="22" t="n"/>
      <c r="D158" s="12" t="n"/>
      <c r="E158" s="23" t="n"/>
      <c r="F158" s="23" t="n"/>
      <c r="G158" s="24">
        <f>IF(F158="","",F158+3)</f>
        <v/>
      </c>
      <c r="H158" s="24">
        <f>IF(F158="","",F158+7)</f>
        <v/>
      </c>
      <c r="I158" s="12" t="n"/>
      <c r="J158" s="12" t="n"/>
      <c r="K158" s="12" t="n"/>
      <c r="L158" s="24">
        <f>IF(AND(D158="Perdida",E158&lt;&gt;""),EDATE(E158,6),"")</f>
        <v/>
      </c>
    </row>
    <row r="159">
      <c r="A159" s="12" t="n"/>
      <c r="B159" s="12" t="n"/>
      <c r="C159" s="22" t="n"/>
      <c r="D159" s="12" t="n"/>
      <c r="E159" s="23" t="n"/>
      <c r="F159" s="23" t="n"/>
      <c r="G159" s="24">
        <f>IF(F159="","",F159+3)</f>
        <v/>
      </c>
      <c r="H159" s="24">
        <f>IF(F159="","",F159+7)</f>
        <v/>
      </c>
      <c r="I159" s="12" t="n"/>
      <c r="J159" s="12" t="n"/>
      <c r="K159" s="12" t="n"/>
      <c r="L159" s="24">
        <f>IF(AND(D159="Perdida",E159&lt;&gt;""),EDATE(E159,6),"")</f>
        <v/>
      </c>
    </row>
    <row r="160">
      <c r="A160" s="12" t="n"/>
      <c r="B160" s="12" t="n"/>
      <c r="C160" s="22" t="n"/>
      <c r="D160" s="12" t="n"/>
      <c r="E160" s="23" t="n"/>
      <c r="F160" s="23" t="n"/>
      <c r="G160" s="24">
        <f>IF(F160="","",F160+3)</f>
        <v/>
      </c>
      <c r="H160" s="24">
        <f>IF(F160="","",F160+7)</f>
        <v/>
      </c>
      <c r="I160" s="12" t="n"/>
      <c r="J160" s="12" t="n"/>
      <c r="K160" s="12" t="n"/>
      <c r="L160" s="24">
        <f>IF(AND(D160="Perdida",E160&lt;&gt;""),EDATE(E160,6),"")</f>
        <v/>
      </c>
    </row>
    <row r="161">
      <c r="A161" s="12" t="n"/>
      <c r="B161" s="12" t="n"/>
      <c r="C161" s="22" t="n"/>
      <c r="D161" s="12" t="n"/>
      <c r="E161" s="23" t="n"/>
      <c r="F161" s="23" t="n"/>
      <c r="G161" s="24">
        <f>IF(F161="","",F161+3)</f>
        <v/>
      </c>
      <c r="H161" s="24">
        <f>IF(F161="","",F161+7)</f>
        <v/>
      </c>
      <c r="I161" s="12" t="n"/>
      <c r="J161" s="12" t="n"/>
      <c r="K161" s="12" t="n"/>
      <c r="L161" s="24">
        <f>IF(AND(D161="Perdida",E161&lt;&gt;""),EDATE(E161,6),"")</f>
        <v/>
      </c>
    </row>
    <row r="162">
      <c r="A162" s="12" t="n"/>
      <c r="B162" s="12" t="n"/>
      <c r="C162" s="22" t="n"/>
      <c r="D162" s="12" t="n"/>
      <c r="E162" s="23" t="n"/>
      <c r="F162" s="23" t="n"/>
      <c r="G162" s="24">
        <f>IF(F162="","",F162+3)</f>
        <v/>
      </c>
      <c r="H162" s="24">
        <f>IF(F162="","",F162+7)</f>
        <v/>
      </c>
      <c r="I162" s="12" t="n"/>
      <c r="J162" s="12" t="n"/>
      <c r="K162" s="12" t="n"/>
      <c r="L162" s="24">
        <f>IF(AND(D162="Perdida",E162&lt;&gt;""),EDATE(E162,6),"")</f>
        <v/>
      </c>
    </row>
    <row r="163">
      <c r="A163" s="12" t="n"/>
      <c r="B163" s="12" t="n"/>
      <c r="C163" s="22" t="n"/>
      <c r="D163" s="12" t="n"/>
      <c r="E163" s="23" t="n"/>
      <c r="F163" s="23" t="n"/>
      <c r="G163" s="24">
        <f>IF(F163="","",F163+3)</f>
        <v/>
      </c>
      <c r="H163" s="24">
        <f>IF(F163="","",F163+7)</f>
        <v/>
      </c>
      <c r="I163" s="12" t="n"/>
      <c r="J163" s="12" t="n"/>
      <c r="K163" s="12" t="n"/>
      <c r="L163" s="24">
        <f>IF(AND(D163="Perdida",E163&lt;&gt;""),EDATE(E163,6),"")</f>
        <v/>
      </c>
    </row>
    <row r="164">
      <c r="A164" s="12" t="n"/>
      <c r="B164" s="12" t="n"/>
      <c r="C164" s="22" t="n"/>
      <c r="D164" s="12" t="n"/>
      <c r="E164" s="23" t="n"/>
      <c r="F164" s="23" t="n"/>
      <c r="G164" s="24">
        <f>IF(F164="","",F164+3)</f>
        <v/>
      </c>
      <c r="H164" s="24">
        <f>IF(F164="","",F164+7)</f>
        <v/>
      </c>
      <c r="I164" s="12" t="n"/>
      <c r="J164" s="12" t="n"/>
      <c r="K164" s="12" t="n"/>
      <c r="L164" s="24">
        <f>IF(AND(D164="Perdida",E164&lt;&gt;""),EDATE(E164,6),"")</f>
        <v/>
      </c>
    </row>
    <row r="165">
      <c r="A165" s="12" t="n"/>
      <c r="B165" s="12" t="n"/>
      <c r="C165" s="22" t="n"/>
      <c r="D165" s="12" t="n"/>
      <c r="E165" s="23" t="n"/>
      <c r="F165" s="23" t="n"/>
      <c r="G165" s="24">
        <f>IF(F165="","",F165+3)</f>
        <v/>
      </c>
      <c r="H165" s="24">
        <f>IF(F165="","",F165+7)</f>
        <v/>
      </c>
      <c r="I165" s="12" t="n"/>
      <c r="J165" s="12" t="n"/>
      <c r="K165" s="12" t="n"/>
      <c r="L165" s="24">
        <f>IF(AND(D165="Perdida",E165&lt;&gt;""),EDATE(E165,6),"")</f>
        <v/>
      </c>
    </row>
    <row r="166">
      <c r="A166" s="12" t="n"/>
      <c r="B166" s="12" t="n"/>
      <c r="C166" s="22" t="n"/>
      <c r="D166" s="12" t="n"/>
      <c r="E166" s="23" t="n"/>
      <c r="F166" s="23" t="n"/>
      <c r="G166" s="24">
        <f>IF(F166="","",F166+3)</f>
        <v/>
      </c>
      <c r="H166" s="24">
        <f>IF(F166="","",F166+7)</f>
        <v/>
      </c>
      <c r="I166" s="12" t="n"/>
      <c r="J166" s="12" t="n"/>
      <c r="K166" s="12" t="n"/>
      <c r="L166" s="24">
        <f>IF(AND(D166="Perdida",E166&lt;&gt;""),EDATE(E166,6),"")</f>
        <v/>
      </c>
    </row>
    <row r="167">
      <c r="A167" s="12" t="n"/>
      <c r="B167" s="12" t="n"/>
      <c r="C167" s="22" t="n"/>
      <c r="D167" s="12" t="n"/>
      <c r="E167" s="23" t="n"/>
      <c r="F167" s="23" t="n"/>
      <c r="G167" s="24">
        <f>IF(F167="","",F167+3)</f>
        <v/>
      </c>
      <c r="H167" s="24">
        <f>IF(F167="","",F167+7)</f>
        <v/>
      </c>
      <c r="I167" s="12" t="n"/>
      <c r="J167" s="12" t="n"/>
      <c r="K167" s="12" t="n"/>
      <c r="L167" s="24">
        <f>IF(AND(D167="Perdida",E167&lt;&gt;""),EDATE(E167,6),"")</f>
        <v/>
      </c>
    </row>
    <row r="168">
      <c r="A168" s="12" t="n"/>
      <c r="B168" s="12" t="n"/>
      <c r="C168" s="22" t="n"/>
      <c r="D168" s="12" t="n"/>
      <c r="E168" s="23" t="n"/>
      <c r="F168" s="23" t="n"/>
      <c r="G168" s="24">
        <f>IF(F168="","",F168+3)</f>
        <v/>
      </c>
      <c r="H168" s="24">
        <f>IF(F168="","",F168+7)</f>
        <v/>
      </c>
      <c r="I168" s="12" t="n"/>
      <c r="J168" s="12" t="n"/>
      <c r="K168" s="12" t="n"/>
      <c r="L168" s="24">
        <f>IF(AND(D168="Perdida",E168&lt;&gt;""),EDATE(E168,6),"")</f>
        <v/>
      </c>
    </row>
    <row r="169">
      <c r="A169" s="12" t="n"/>
      <c r="B169" s="12" t="n"/>
      <c r="C169" s="22" t="n"/>
      <c r="D169" s="12" t="n"/>
      <c r="E169" s="23" t="n"/>
      <c r="F169" s="23" t="n"/>
      <c r="G169" s="24">
        <f>IF(F169="","",F169+3)</f>
        <v/>
      </c>
      <c r="H169" s="24">
        <f>IF(F169="","",F169+7)</f>
        <v/>
      </c>
      <c r="I169" s="12" t="n"/>
      <c r="J169" s="12" t="n"/>
      <c r="K169" s="12" t="n"/>
      <c r="L169" s="24">
        <f>IF(AND(D169="Perdida",E169&lt;&gt;""),EDATE(E169,6),"")</f>
        <v/>
      </c>
    </row>
    <row r="170">
      <c r="A170" s="12" t="n"/>
      <c r="B170" s="12" t="n"/>
      <c r="C170" s="22" t="n"/>
      <c r="D170" s="12" t="n"/>
      <c r="E170" s="23" t="n"/>
      <c r="F170" s="23" t="n"/>
      <c r="G170" s="24">
        <f>IF(F170="","",F170+3)</f>
        <v/>
      </c>
      <c r="H170" s="24">
        <f>IF(F170="","",F170+7)</f>
        <v/>
      </c>
      <c r="I170" s="12" t="n"/>
      <c r="J170" s="12" t="n"/>
      <c r="K170" s="12" t="n"/>
      <c r="L170" s="24">
        <f>IF(AND(D170="Perdida",E170&lt;&gt;""),EDATE(E170,6),"")</f>
        <v/>
      </c>
    </row>
    <row r="171">
      <c r="A171" s="12" t="n"/>
      <c r="B171" s="12" t="n"/>
      <c r="C171" s="22" t="n"/>
      <c r="D171" s="12" t="n"/>
      <c r="E171" s="23" t="n"/>
      <c r="F171" s="23" t="n"/>
      <c r="G171" s="24">
        <f>IF(F171="","",F171+3)</f>
        <v/>
      </c>
      <c r="H171" s="24">
        <f>IF(F171="","",F171+7)</f>
        <v/>
      </c>
      <c r="I171" s="12" t="n"/>
      <c r="J171" s="12" t="n"/>
      <c r="K171" s="12" t="n"/>
      <c r="L171" s="24">
        <f>IF(AND(D171="Perdida",E171&lt;&gt;""),EDATE(E171,6),"")</f>
        <v/>
      </c>
    </row>
    <row r="172">
      <c r="A172" s="12" t="n"/>
      <c r="B172" s="12" t="n"/>
      <c r="C172" s="22" t="n"/>
      <c r="D172" s="12" t="n"/>
      <c r="E172" s="23" t="n"/>
      <c r="F172" s="23" t="n"/>
      <c r="G172" s="24">
        <f>IF(F172="","",F172+3)</f>
        <v/>
      </c>
      <c r="H172" s="24">
        <f>IF(F172="","",F172+7)</f>
        <v/>
      </c>
      <c r="I172" s="12" t="n"/>
      <c r="J172" s="12" t="n"/>
      <c r="K172" s="12" t="n"/>
      <c r="L172" s="24">
        <f>IF(AND(D172="Perdida",E172&lt;&gt;""),EDATE(E172,6),"")</f>
        <v/>
      </c>
    </row>
    <row r="173">
      <c r="A173" s="12" t="n"/>
      <c r="B173" s="12" t="n"/>
      <c r="C173" s="22" t="n"/>
      <c r="D173" s="12" t="n"/>
      <c r="E173" s="23" t="n"/>
      <c r="F173" s="23" t="n"/>
      <c r="G173" s="24">
        <f>IF(F173="","",F173+3)</f>
        <v/>
      </c>
      <c r="H173" s="24">
        <f>IF(F173="","",F173+7)</f>
        <v/>
      </c>
      <c r="I173" s="12" t="n"/>
      <c r="J173" s="12" t="n"/>
      <c r="K173" s="12" t="n"/>
      <c r="L173" s="24">
        <f>IF(AND(D173="Perdida",E173&lt;&gt;""),EDATE(E173,6),"")</f>
        <v/>
      </c>
    </row>
    <row r="174">
      <c r="A174" s="12" t="n"/>
      <c r="B174" s="12" t="n"/>
      <c r="C174" s="22" t="n"/>
      <c r="D174" s="12" t="n"/>
      <c r="E174" s="23" t="n"/>
      <c r="F174" s="23" t="n"/>
      <c r="G174" s="24">
        <f>IF(F174="","",F174+3)</f>
        <v/>
      </c>
      <c r="H174" s="24">
        <f>IF(F174="","",F174+7)</f>
        <v/>
      </c>
      <c r="I174" s="12" t="n"/>
      <c r="J174" s="12" t="n"/>
      <c r="K174" s="12" t="n"/>
      <c r="L174" s="24">
        <f>IF(AND(D174="Perdida",E174&lt;&gt;""),EDATE(E174,6),"")</f>
        <v/>
      </c>
    </row>
    <row r="175">
      <c r="A175" s="12" t="n"/>
      <c r="B175" s="12" t="n"/>
      <c r="C175" s="22" t="n"/>
      <c r="D175" s="12" t="n"/>
      <c r="E175" s="23" t="n"/>
      <c r="F175" s="23" t="n"/>
      <c r="G175" s="24">
        <f>IF(F175="","",F175+3)</f>
        <v/>
      </c>
      <c r="H175" s="24">
        <f>IF(F175="","",F175+7)</f>
        <v/>
      </c>
      <c r="I175" s="12" t="n"/>
      <c r="J175" s="12" t="n"/>
      <c r="K175" s="12" t="n"/>
      <c r="L175" s="24">
        <f>IF(AND(D175="Perdida",E175&lt;&gt;""),EDATE(E175,6),"")</f>
        <v/>
      </c>
    </row>
    <row r="176">
      <c r="A176" s="12" t="n"/>
      <c r="B176" s="12" t="n"/>
      <c r="C176" s="22" t="n"/>
      <c r="D176" s="12" t="n"/>
      <c r="E176" s="23" t="n"/>
      <c r="F176" s="23" t="n"/>
      <c r="G176" s="24">
        <f>IF(F176="","",F176+3)</f>
        <v/>
      </c>
      <c r="H176" s="24">
        <f>IF(F176="","",F176+7)</f>
        <v/>
      </c>
      <c r="I176" s="12" t="n"/>
      <c r="J176" s="12" t="n"/>
      <c r="K176" s="12" t="n"/>
      <c r="L176" s="24">
        <f>IF(AND(D176="Perdida",E176&lt;&gt;""),EDATE(E176,6),"")</f>
        <v/>
      </c>
    </row>
    <row r="177">
      <c r="A177" s="12" t="n"/>
      <c r="B177" s="12" t="n"/>
      <c r="C177" s="22" t="n"/>
      <c r="D177" s="12" t="n"/>
      <c r="E177" s="23" t="n"/>
      <c r="F177" s="23" t="n"/>
      <c r="G177" s="24">
        <f>IF(F177="","",F177+3)</f>
        <v/>
      </c>
      <c r="H177" s="24">
        <f>IF(F177="","",F177+7)</f>
        <v/>
      </c>
      <c r="I177" s="12" t="n"/>
      <c r="J177" s="12" t="n"/>
      <c r="K177" s="12" t="n"/>
      <c r="L177" s="24">
        <f>IF(AND(D177="Perdida",E177&lt;&gt;""),EDATE(E177,6),"")</f>
        <v/>
      </c>
    </row>
    <row r="178">
      <c r="A178" s="12" t="n"/>
      <c r="B178" s="12" t="n"/>
      <c r="C178" s="22" t="n"/>
      <c r="D178" s="12" t="n"/>
      <c r="E178" s="23" t="n"/>
      <c r="F178" s="23" t="n"/>
      <c r="G178" s="24">
        <f>IF(F178="","",F178+3)</f>
        <v/>
      </c>
      <c r="H178" s="24">
        <f>IF(F178="","",F178+7)</f>
        <v/>
      </c>
      <c r="I178" s="12" t="n"/>
      <c r="J178" s="12" t="n"/>
      <c r="K178" s="12" t="n"/>
      <c r="L178" s="24">
        <f>IF(AND(D178="Perdida",E178&lt;&gt;""),EDATE(E178,6),"")</f>
        <v/>
      </c>
    </row>
    <row r="179">
      <c r="A179" s="12" t="n"/>
      <c r="B179" s="12" t="n"/>
      <c r="C179" s="22" t="n"/>
      <c r="D179" s="12" t="n"/>
      <c r="E179" s="23" t="n"/>
      <c r="F179" s="23" t="n"/>
      <c r="G179" s="24">
        <f>IF(F179="","",F179+3)</f>
        <v/>
      </c>
      <c r="H179" s="24">
        <f>IF(F179="","",F179+7)</f>
        <v/>
      </c>
      <c r="I179" s="12" t="n"/>
      <c r="J179" s="12" t="n"/>
      <c r="K179" s="12" t="n"/>
      <c r="L179" s="24">
        <f>IF(AND(D179="Perdida",E179&lt;&gt;""),EDATE(E179,6),"")</f>
        <v/>
      </c>
    </row>
    <row r="180">
      <c r="A180" s="12" t="n"/>
      <c r="B180" s="12" t="n"/>
      <c r="C180" s="22" t="n"/>
      <c r="D180" s="12" t="n"/>
      <c r="E180" s="23" t="n"/>
      <c r="F180" s="23" t="n"/>
      <c r="G180" s="24">
        <f>IF(F180="","",F180+3)</f>
        <v/>
      </c>
      <c r="H180" s="24">
        <f>IF(F180="","",F180+7)</f>
        <v/>
      </c>
      <c r="I180" s="12" t="n"/>
      <c r="J180" s="12" t="n"/>
      <c r="K180" s="12" t="n"/>
      <c r="L180" s="24">
        <f>IF(AND(D180="Perdida",E180&lt;&gt;""),EDATE(E180,6),"")</f>
        <v/>
      </c>
    </row>
    <row r="181">
      <c r="A181" s="12" t="n"/>
      <c r="B181" s="12" t="n"/>
      <c r="C181" s="22" t="n"/>
      <c r="D181" s="12" t="n"/>
      <c r="E181" s="23" t="n"/>
      <c r="F181" s="23" t="n"/>
      <c r="G181" s="24">
        <f>IF(F181="","",F181+3)</f>
        <v/>
      </c>
      <c r="H181" s="24">
        <f>IF(F181="","",F181+7)</f>
        <v/>
      </c>
      <c r="I181" s="12" t="n"/>
      <c r="J181" s="12" t="n"/>
      <c r="K181" s="12" t="n"/>
      <c r="L181" s="24">
        <f>IF(AND(D181="Perdida",E181&lt;&gt;""),EDATE(E181,6),"")</f>
        <v/>
      </c>
    </row>
    <row r="182">
      <c r="A182" s="12" t="n"/>
      <c r="B182" s="12" t="n"/>
      <c r="C182" s="22" t="n"/>
      <c r="D182" s="12" t="n"/>
      <c r="E182" s="23" t="n"/>
      <c r="F182" s="23" t="n"/>
      <c r="G182" s="24">
        <f>IF(F182="","",F182+3)</f>
        <v/>
      </c>
      <c r="H182" s="24">
        <f>IF(F182="","",F182+7)</f>
        <v/>
      </c>
      <c r="I182" s="12" t="n"/>
      <c r="J182" s="12" t="n"/>
      <c r="K182" s="12" t="n"/>
      <c r="L182" s="24">
        <f>IF(AND(D182="Perdida",E182&lt;&gt;""),EDATE(E182,6),"")</f>
        <v/>
      </c>
    </row>
    <row r="183">
      <c r="A183" s="12" t="n"/>
      <c r="B183" s="12" t="n"/>
      <c r="C183" s="22" t="n"/>
      <c r="D183" s="12" t="n"/>
      <c r="E183" s="23" t="n"/>
      <c r="F183" s="23" t="n"/>
      <c r="G183" s="24">
        <f>IF(F183="","",F183+3)</f>
        <v/>
      </c>
      <c r="H183" s="24">
        <f>IF(F183="","",F183+7)</f>
        <v/>
      </c>
      <c r="I183" s="12" t="n"/>
      <c r="J183" s="12" t="n"/>
      <c r="K183" s="12" t="n"/>
      <c r="L183" s="24">
        <f>IF(AND(D183="Perdida",E183&lt;&gt;""),EDATE(E183,6),"")</f>
        <v/>
      </c>
    </row>
    <row r="184">
      <c r="A184" s="12" t="n"/>
      <c r="B184" s="12" t="n"/>
      <c r="C184" s="22" t="n"/>
      <c r="D184" s="12" t="n"/>
      <c r="E184" s="23" t="n"/>
      <c r="F184" s="23" t="n"/>
      <c r="G184" s="24">
        <f>IF(F184="","",F184+3)</f>
        <v/>
      </c>
      <c r="H184" s="24">
        <f>IF(F184="","",F184+7)</f>
        <v/>
      </c>
      <c r="I184" s="12" t="n"/>
      <c r="J184" s="12" t="n"/>
      <c r="K184" s="12" t="n"/>
      <c r="L184" s="24">
        <f>IF(AND(D184="Perdida",E184&lt;&gt;""),EDATE(E184,6),"")</f>
        <v/>
      </c>
    </row>
    <row r="185">
      <c r="A185" s="12" t="n"/>
      <c r="B185" s="12" t="n"/>
      <c r="C185" s="22" t="n"/>
      <c r="D185" s="12" t="n"/>
      <c r="E185" s="23" t="n"/>
      <c r="F185" s="23" t="n"/>
      <c r="G185" s="24">
        <f>IF(F185="","",F185+3)</f>
        <v/>
      </c>
      <c r="H185" s="24">
        <f>IF(F185="","",F185+7)</f>
        <v/>
      </c>
      <c r="I185" s="12" t="n"/>
      <c r="J185" s="12" t="n"/>
      <c r="K185" s="12" t="n"/>
      <c r="L185" s="24">
        <f>IF(AND(D185="Perdida",E185&lt;&gt;""),EDATE(E185,6),"")</f>
        <v/>
      </c>
    </row>
    <row r="186">
      <c r="A186" s="12" t="n"/>
      <c r="B186" s="12" t="n"/>
      <c r="C186" s="22" t="n"/>
      <c r="D186" s="12" t="n"/>
      <c r="E186" s="23" t="n"/>
      <c r="F186" s="23" t="n"/>
      <c r="G186" s="24">
        <f>IF(F186="","",F186+3)</f>
        <v/>
      </c>
      <c r="H186" s="24">
        <f>IF(F186="","",F186+7)</f>
        <v/>
      </c>
      <c r="I186" s="12" t="n"/>
      <c r="J186" s="12" t="n"/>
      <c r="K186" s="12" t="n"/>
      <c r="L186" s="24">
        <f>IF(AND(D186="Perdida",E186&lt;&gt;""),EDATE(E186,6),"")</f>
        <v/>
      </c>
    </row>
    <row r="187">
      <c r="A187" s="12" t="n"/>
      <c r="B187" s="12" t="n"/>
      <c r="C187" s="22" t="n"/>
      <c r="D187" s="12" t="n"/>
      <c r="E187" s="23" t="n"/>
      <c r="F187" s="23" t="n"/>
      <c r="G187" s="24">
        <f>IF(F187="","",F187+3)</f>
        <v/>
      </c>
      <c r="H187" s="24">
        <f>IF(F187="","",F187+7)</f>
        <v/>
      </c>
      <c r="I187" s="12" t="n"/>
      <c r="J187" s="12" t="n"/>
      <c r="K187" s="12" t="n"/>
      <c r="L187" s="24">
        <f>IF(AND(D187="Perdida",E187&lt;&gt;""),EDATE(E187,6),"")</f>
        <v/>
      </c>
    </row>
    <row r="188">
      <c r="A188" s="12" t="n"/>
      <c r="B188" s="12" t="n"/>
      <c r="C188" s="22" t="n"/>
      <c r="D188" s="12" t="n"/>
      <c r="E188" s="23" t="n"/>
      <c r="F188" s="23" t="n"/>
      <c r="G188" s="24">
        <f>IF(F188="","",F188+3)</f>
        <v/>
      </c>
      <c r="H188" s="24">
        <f>IF(F188="","",F188+7)</f>
        <v/>
      </c>
      <c r="I188" s="12" t="n"/>
      <c r="J188" s="12" t="n"/>
      <c r="K188" s="12" t="n"/>
      <c r="L188" s="24">
        <f>IF(AND(D188="Perdida",E188&lt;&gt;""),EDATE(E188,6),"")</f>
        <v/>
      </c>
    </row>
    <row r="189">
      <c r="A189" s="12" t="n"/>
      <c r="B189" s="12" t="n"/>
      <c r="C189" s="22" t="n"/>
      <c r="D189" s="12" t="n"/>
      <c r="E189" s="23" t="n"/>
      <c r="F189" s="23" t="n"/>
      <c r="G189" s="24">
        <f>IF(F189="","",F189+3)</f>
        <v/>
      </c>
      <c r="H189" s="24">
        <f>IF(F189="","",F189+7)</f>
        <v/>
      </c>
      <c r="I189" s="12" t="n"/>
      <c r="J189" s="12" t="n"/>
      <c r="K189" s="12" t="n"/>
      <c r="L189" s="24">
        <f>IF(AND(D189="Perdida",E189&lt;&gt;""),EDATE(E189,6),"")</f>
        <v/>
      </c>
    </row>
    <row r="190">
      <c r="A190" s="12" t="n"/>
      <c r="B190" s="12" t="n"/>
      <c r="C190" s="22" t="n"/>
      <c r="D190" s="12" t="n"/>
      <c r="E190" s="23" t="n"/>
      <c r="F190" s="23" t="n"/>
      <c r="G190" s="24">
        <f>IF(F190="","",F190+3)</f>
        <v/>
      </c>
      <c r="H190" s="24">
        <f>IF(F190="","",F190+7)</f>
        <v/>
      </c>
      <c r="I190" s="12" t="n"/>
      <c r="J190" s="12" t="n"/>
      <c r="K190" s="12" t="n"/>
      <c r="L190" s="24">
        <f>IF(AND(D190="Perdida",E190&lt;&gt;""),EDATE(E190,6),"")</f>
        <v/>
      </c>
    </row>
    <row r="191">
      <c r="A191" s="12" t="n"/>
      <c r="B191" s="12" t="n"/>
      <c r="C191" s="22" t="n"/>
      <c r="D191" s="12" t="n"/>
      <c r="E191" s="23" t="n"/>
      <c r="F191" s="23" t="n"/>
      <c r="G191" s="24">
        <f>IF(F191="","",F191+3)</f>
        <v/>
      </c>
      <c r="H191" s="24">
        <f>IF(F191="","",F191+7)</f>
        <v/>
      </c>
      <c r="I191" s="12" t="n"/>
      <c r="J191" s="12" t="n"/>
      <c r="K191" s="12" t="n"/>
      <c r="L191" s="24">
        <f>IF(AND(D191="Perdida",E191&lt;&gt;""),EDATE(E191,6),"")</f>
        <v/>
      </c>
    </row>
    <row r="192">
      <c r="A192" s="12" t="n"/>
      <c r="B192" s="12" t="n"/>
      <c r="C192" s="22" t="n"/>
      <c r="D192" s="12" t="n"/>
      <c r="E192" s="23" t="n"/>
      <c r="F192" s="23" t="n"/>
      <c r="G192" s="24">
        <f>IF(F192="","",F192+3)</f>
        <v/>
      </c>
      <c r="H192" s="24">
        <f>IF(F192="","",F192+7)</f>
        <v/>
      </c>
      <c r="I192" s="12" t="n"/>
      <c r="J192" s="12" t="n"/>
      <c r="K192" s="12" t="n"/>
      <c r="L192" s="24">
        <f>IF(AND(D192="Perdida",E192&lt;&gt;""),EDATE(E192,6),"")</f>
        <v/>
      </c>
    </row>
    <row r="193">
      <c r="A193" s="12" t="n"/>
      <c r="B193" s="12" t="n"/>
      <c r="C193" s="22" t="n"/>
      <c r="D193" s="12" t="n"/>
      <c r="E193" s="23" t="n"/>
      <c r="F193" s="23" t="n"/>
      <c r="G193" s="24">
        <f>IF(F193="","",F193+3)</f>
        <v/>
      </c>
      <c r="H193" s="24">
        <f>IF(F193="","",F193+7)</f>
        <v/>
      </c>
      <c r="I193" s="12" t="n"/>
      <c r="J193" s="12" t="n"/>
      <c r="K193" s="12" t="n"/>
      <c r="L193" s="24">
        <f>IF(AND(D193="Perdida",E193&lt;&gt;""),EDATE(E193,6),"")</f>
        <v/>
      </c>
    </row>
    <row r="194">
      <c r="A194" s="12" t="n"/>
      <c r="B194" s="12" t="n"/>
      <c r="C194" s="22" t="n"/>
      <c r="D194" s="12" t="n"/>
      <c r="E194" s="23" t="n"/>
      <c r="F194" s="23" t="n"/>
      <c r="G194" s="24">
        <f>IF(F194="","",F194+3)</f>
        <v/>
      </c>
      <c r="H194" s="24">
        <f>IF(F194="","",F194+7)</f>
        <v/>
      </c>
      <c r="I194" s="12" t="n"/>
      <c r="J194" s="12" t="n"/>
      <c r="K194" s="12" t="n"/>
      <c r="L194" s="24">
        <f>IF(AND(D194="Perdida",E194&lt;&gt;""),EDATE(E194,6),"")</f>
        <v/>
      </c>
    </row>
    <row r="195">
      <c r="A195" s="12" t="n"/>
      <c r="B195" s="12" t="n"/>
      <c r="C195" s="22" t="n"/>
      <c r="D195" s="12" t="n"/>
      <c r="E195" s="23" t="n"/>
      <c r="F195" s="23" t="n"/>
      <c r="G195" s="24">
        <f>IF(F195="","",F195+3)</f>
        <v/>
      </c>
      <c r="H195" s="24">
        <f>IF(F195="","",F195+7)</f>
        <v/>
      </c>
      <c r="I195" s="12" t="n"/>
      <c r="J195" s="12" t="n"/>
      <c r="K195" s="12" t="n"/>
      <c r="L195" s="24">
        <f>IF(AND(D195="Perdida",E195&lt;&gt;""),EDATE(E195,6),"")</f>
        <v/>
      </c>
    </row>
    <row r="196">
      <c r="A196" s="12" t="n"/>
      <c r="B196" s="12" t="n"/>
      <c r="C196" s="22" t="n"/>
      <c r="D196" s="12" t="n"/>
      <c r="E196" s="23" t="n"/>
      <c r="F196" s="23" t="n"/>
      <c r="G196" s="24">
        <f>IF(F196="","",F196+3)</f>
        <v/>
      </c>
      <c r="H196" s="24">
        <f>IF(F196="","",F196+7)</f>
        <v/>
      </c>
      <c r="I196" s="12" t="n"/>
      <c r="J196" s="12" t="n"/>
      <c r="K196" s="12" t="n"/>
      <c r="L196" s="24">
        <f>IF(AND(D196="Perdida",E196&lt;&gt;""),EDATE(E196,6),"")</f>
        <v/>
      </c>
    </row>
    <row r="197">
      <c r="A197" s="12" t="n"/>
      <c r="B197" s="12" t="n"/>
      <c r="C197" s="22" t="n"/>
      <c r="D197" s="12" t="n"/>
      <c r="E197" s="23" t="n"/>
      <c r="F197" s="23" t="n"/>
      <c r="G197" s="24">
        <f>IF(F197="","",F197+3)</f>
        <v/>
      </c>
      <c r="H197" s="24">
        <f>IF(F197="","",F197+7)</f>
        <v/>
      </c>
      <c r="I197" s="12" t="n"/>
      <c r="J197" s="12" t="n"/>
      <c r="K197" s="12" t="n"/>
      <c r="L197" s="24">
        <f>IF(AND(D197="Perdida",E197&lt;&gt;""),EDATE(E197,6),"")</f>
        <v/>
      </c>
    </row>
    <row r="198">
      <c r="A198" s="12" t="n"/>
      <c r="B198" s="12" t="n"/>
      <c r="C198" s="22" t="n"/>
      <c r="D198" s="12" t="n"/>
      <c r="E198" s="23" t="n"/>
      <c r="F198" s="23" t="n"/>
      <c r="G198" s="24">
        <f>IF(F198="","",F198+3)</f>
        <v/>
      </c>
      <c r="H198" s="24">
        <f>IF(F198="","",F198+7)</f>
        <v/>
      </c>
      <c r="I198" s="12" t="n"/>
      <c r="J198" s="12" t="n"/>
      <c r="K198" s="12" t="n"/>
      <c r="L198" s="24">
        <f>IF(AND(D198="Perdida",E198&lt;&gt;""),EDATE(E198,6),"")</f>
        <v/>
      </c>
    </row>
    <row r="199">
      <c r="A199" s="12" t="n"/>
      <c r="B199" s="12" t="n"/>
      <c r="C199" s="22" t="n"/>
      <c r="D199" s="12" t="n"/>
      <c r="E199" s="23" t="n"/>
      <c r="F199" s="23" t="n"/>
      <c r="G199" s="24">
        <f>IF(F199="","",F199+3)</f>
        <v/>
      </c>
      <c r="H199" s="24">
        <f>IF(F199="","",F199+7)</f>
        <v/>
      </c>
      <c r="I199" s="12" t="n"/>
      <c r="J199" s="12" t="n"/>
      <c r="K199" s="12" t="n"/>
      <c r="L199" s="24">
        <f>IF(AND(D199="Perdida",E199&lt;&gt;""),EDATE(E199,6),"")</f>
        <v/>
      </c>
    </row>
    <row r="200">
      <c r="A200" s="12" t="n"/>
      <c r="B200" s="12" t="n"/>
      <c r="C200" s="22" t="n"/>
      <c r="D200" s="12" t="n"/>
      <c r="E200" s="23" t="n"/>
      <c r="F200" s="23" t="n"/>
      <c r="G200" s="24">
        <f>IF(F200="","",F200+3)</f>
        <v/>
      </c>
      <c r="H200" s="24">
        <f>IF(F200="","",F200+7)</f>
        <v/>
      </c>
      <c r="I200" s="12" t="n"/>
      <c r="J200" s="12" t="n"/>
      <c r="K200" s="12" t="n"/>
      <c r="L200" s="24">
        <f>IF(AND(D200="Perdida",E200&lt;&gt;""),EDATE(E200,6),"")</f>
        <v/>
      </c>
    </row>
    <row r="201">
      <c r="A201" s="12" t="n"/>
      <c r="B201" s="12" t="n"/>
      <c r="C201" s="22" t="n"/>
      <c r="D201" s="12" t="n"/>
      <c r="E201" s="23" t="n"/>
      <c r="F201" s="23" t="n"/>
      <c r="G201" s="24">
        <f>IF(F201="","",F201+3)</f>
        <v/>
      </c>
      <c r="H201" s="24">
        <f>IF(F201="","",F201+7)</f>
        <v/>
      </c>
      <c r="I201" s="12" t="n"/>
      <c r="J201" s="12" t="n"/>
      <c r="K201" s="12" t="n"/>
      <c r="L201" s="24">
        <f>IF(AND(D201="Perdida",E201&lt;&gt;""),EDATE(E201,6),"")</f>
        <v/>
      </c>
    </row>
    <row r="202">
      <c r="A202" s="12" t="n"/>
      <c r="B202" s="12" t="n"/>
      <c r="C202" s="22" t="n"/>
      <c r="D202" s="12" t="n"/>
      <c r="E202" s="23" t="n"/>
      <c r="F202" s="23" t="n"/>
      <c r="G202" s="24">
        <f>IF(F202="","",F202+3)</f>
        <v/>
      </c>
      <c r="H202" s="24">
        <f>IF(F202="","",F202+7)</f>
        <v/>
      </c>
      <c r="I202" s="12" t="n"/>
      <c r="J202" s="12" t="n"/>
      <c r="K202" s="12" t="n"/>
      <c r="L202" s="24">
        <f>IF(AND(D202="Perdida",E202&lt;&gt;""),EDATE(E202,6),"")</f>
        <v/>
      </c>
    </row>
    <row r="203">
      <c r="A203" s="12" t="n"/>
      <c r="B203" s="12" t="n"/>
      <c r="C203" s="22" t="n"/>
      <c r="D203" s="12" t="n"/>
      <c r="E203" s="23" t="n"/>
      <c r="F203" s="23" t="n"/>
      <c r="G203" s="24">
        <f>IF(F203="","",F203+3)</f>
        <v/>
      </c>
      <c r="H203" s="24">
        <f>IF(F203="","",F203+7)</f>
        <v/>
      </c>
      <c r="I203" s="12" t="n"/>
      <c r="J203" s="12" t="n"/>
      <c r="K203" s="12" t="n"/>
      <c r="L203" s="24">
        <f>IF(AND(D203="Perdida",E203&lt;&gt;""),EDATE(E203,6),"")</f>
        <v/>
      </c>
    </row>
    <row r="204">
      <c r="A204" s="12" t="n"/>
      <c r="B204" s="12" t="n"/>
      <c r="C204" s="22" t="n"/>
      <c r="D204" s="12" t="n"/>
      <c r="E204" s="23" t="n"/>
      <c r="F204" s="23" t="n"/>
      <c r="G204" s="24">
        <f>IF(F204="","",F204+3)</f>
        <v/>
      </c>
      <c r="H204" s="24">
        <f>IF(F204="","",F204+7)</f>
        <v/>
      </c>
      <c r="I204" s="12" t="n"/>
      <c r="J204" s="12" t="n"/>
      <c r="K204" s="12" t="n"/>
      <c r="L204" s="24">
        <f>IF(AND(D204="Perdida",E204&lt;&gt;""),EDATE(E204,6),"")</f>
        <v/>
      </c>
    </row>
    <row r="205">
      <c r="A205" s="12" t="n"/>
      <c r="B205" s="12" t="n"/>
      <c r="C205" s="22" t="n"/>
      <c r="D205" s="12" t="n"/>
      <c r="E205" s="23" t="n"/>
      <c r="F205" s="23" t="n"/>
      <c r="G205" s="24">
        <f>IF(F205="","",F205+3)</f>
        <v/>
      </c>
      <c r="H205" s="24">
        <f>IF(F205="","",F205+7)</f>
        <v/>
      </c>
      <c r="I205" s="12" t="n"/>
      <c r="J205" s="12" t="n"/>
      <c r="K205" s="12" t="n"/>
      <c r="L205" s="24">
        <f>IF(AND(D205="Perdida",E205&lt;&gt;""),EDATE(E205,6),"")</f>
        <v/>
      </c>
    </row>
    <row r="206">
      <c r="A206" s="12" t="n"/>
      <c r="B206" s="12" t="n"/>
      <c r="C206" s="22" t="n"/>
      <c r="D206" s="12" t="n"/>
      <c r="E206" s="23" t="n"/>
      <c r="F206" s="23" t="n"/>
      <c r="G206" s="24">
        <f>IF(F206="","",F206+3)</f>
        <v/>
      </c>
      <c r="H206" s="24">
        <f>IF(F206="","",F206+7)</f>
        <v/>
      </c>
      <c r="I206" s="12" t="n"/>
      <c r="J206" s="12" t="n"/>
      <c r="K206" s="12" t="n"/>
      <c r="L206" s="24">
        <f>IF(AND(D206="Perdida",E206&lt;&gt;""),EDATE(E206,6),"")</f>
        <v/>
      </c>
    </row>
    <row r="207">
      <c r="A207" s="12" t="n"/>
      <c r="B207" s="12" t="n"/>
      <c r="C207" s="22" t="n"/>
      <c r="D207" s="12" t="n"/>
      <c r="E207" s="23" t="n"/>
      <c r="F207" s="23" t="n"/>
      <c r="G207" s="24">
        <f>IF(F207="","",F207+3)</f>
        <v/>
      </c>
      <c r="H207" s="24">
        <f>IF(F207="","",F207+7)</f>
        <v/>
      </c>
      <c r="I207" s="12" t="n"/>
      <c r="J207" s="12" t="n"/>
      <c r="K207" s="12" t="n"/>
      <c r="L207" s="24">
        <f>IF(AND(D207="Perdida",E207&lt;&gt;""),EDATE(E207,6),"")</f>
        <v/>
      </c>
    </row>
    <row r="208">
      <c r="A208" s="12" t="n"/>
      <c r="B208" s="12" t="n"/>
      <c r="C208" s="22" t="n"/>
      <c r="D208" s="12" t="n"/>
      <c r="E208" s="23" t="n"/>
      <c r="F208" s="23" t="n"/>
      <c r="G208" s="24">
        <f>IF(F208="","",F208+3)</f>
        <v/>
      </c>
      <c r="H208" s="24">
        <f>IF(F208="","",F208+7)</f>
        <v/>
      </c>
      <c r="I208" s="12" t="n"/>
      <c r="J208" s="12" t="n"/>
      <c r="K208" s="12" t="n"/>
      <c r="L208" s="24">
        <f>IF(AND(D208="Perdida",E208&lt;&gt;""),EDATE(E208,6),"")</f>
        <v/>
      </c>
    </row>
    <row r="209">
      <c r="A209" s="12" t="n"/>
      <c r="B209" s="12" t="n"/>
      <c r="C209" s="22" t="n"/>
      <c r="D209" s="12" t="n"/>
      <c r="E209" s="23" t="n"/>
      <c r="F209" s="23" t="n"/>
      <c r="G209" s="24">
        <f>IF(F209="","",F209+3)</f>
        <v/>
      </c>
      <c r="H209" s="24">
        <f>IF(F209="","",F209+7)</f>
        <v/>
      </c>
      <c r="I209" s="12" t="n"/>
      <c r="J209" s="12" t="n"/>
      <c r="K209" s="12" t="n"/>
      <c r="L209" s="24">
        <f>IF(AND(D209="Perdida",E209&lt;&gt;""),EDATE(E209,6),"")</f>
        <v/>
      </c>
    </row>
    <row r="210">
      <c r="A210" s="12" t="n"/>
      <c r="B210" s="12" t="n"/>
      <c r="C210" s="22" t="n"/>
      <c r="D210" s="12" t="n"/>
      <c r="E210" s="23" t="n"/>
      <c r="F210" s="23" t="n"/>
      <c r="G210" s="24">
        <f>IF(F210="","",F210+3)</f>
        <v/>
      </c>
      <c r="H210" s="24">
        <f>IF(F210="","",F210+7)</f>
        <v/>
      </c>
      <c r="I210" s="12" t="n"/>
      <c r="J210" s="12" t="n"/>
      <c r="K210" s="12" t="n"/>
      <c r="L210" s="24">
        <f>IF(AND(D210="Perdida",E210&lt;&gt;""),EDATE(E210,6),"")</f>
        <v/>
      </c>
    </row>
    <row r="211">
      <c r="A211" s="12" t="n"/>
      <c r="B211" s="12" t="n"/>
      <c r="C211" s="22" t="n"/>
      <c r="D211" s="12" t="n"/>
      <c r="E211" s="23" t="n"/>
      <c r="F211" s="23" t="n"/>
      <c r="G211" s="24">
        <f>IF(F211="","",F211+3)</f>
        <v/>
      </c>
      <c r="H211" s="24">
        <f>IF(F211="","",F211+7)</f>
        <v/>
      </c>
      <c r="I211" s="12" t="n"/>
      <c r="J211" s="12" t="n"/>
      <c r="K211" s="12" t="n"/>
      <c r="L211" s="24">
        <f>IF(AND(D211="Perdida",E211&lt;&gt;""),EDATE(E211,6),"")</f>
        <v/>
      </c>
    </row>
    <row r="212">
      <c r="A212" s="12" t="n"/>
      <c r="B212" s="12" t="n"/>
      <c r="C212" s="22" t="n"/>
      <c r="D212" s="12" t="n"/>
      <c r="E212" s="23" t="n"/>
      <c r="F212" s="23" t="n"/>
      <c r="G212" s="24">
        <f>IF(F212="","",F212+3)</f>
        <v/>
      </c>
      <c r="H212" s="24">
        <f>IF(F212="","",F212+7)</f>
        <v/>
      </c>
      <c r="I212" s="12" t="n"/>
      <c r="J212" s="12" t="n"/>
      <c r="K212" s="12" t="n"/>
      <c r="L212" s="24">
        <f>IF(AND(D212="Perdida",E212&lt;&gt;""),EDATE(E212,6),"")</f>
        <v/>
      </c>
    </row>
    <row r="213">
      <c r="A213" s="12" t="n"/>
      <c r="B213" s="12" t="n"/>
      <c r="C213" s="22" t="n"/>
      <c r="D213" s="12" t="n"/>
      <c r="E213" s="23" t="n"/>
      <c r="F213" s="23" t="n"/>
      <c r="G213" s="24">
        <f>IF(F213="","",F213+3)</f>
        <v/>
      </c>
      <c r="H213" s="24">
        <f>IF(F213="","",F213+7)</f>
        <v/>
      </c>
      <c r="I213" s="12" t="n"/>
      <c r="J213" s="12" t="n"/>
      <c r="K213" s="12" t="n"/>
      <c r="L213" s="24">
        <f>IF(AND(D213="Perdida",E213&lt;&gt;""),EDATE(E213,6),"")</f>
        <v/>
      </c>
    </row>
    <row r="214">
      <c r="A214" s="12" t="n"/>
      <c r="B214" s="12" t="n"/>
      <c r="C214" s="22" t="n"/>
      <c r="D214" s="12" t="n"/>
      <c r="E214" s="23" t="n"/>
      <c r="F214" s="23" t="n"/>
      <c r="G214" s="24">
        <f>IF(F214="","",F214+3)</f>
        <v/>
      </c>
      <c r="H214" s="24">
        <f>IF(F214="","",F214+7)</f>
        <v/>
      </c>
      <c r="I214" s="12" t="n"/>
      <c r="J214" s="12" t="n"/>
      <c r="K214" s="12" t="n"/>
      <c r="L214" s="24">
        <f>IF(AND(D214="Perdida",E214&lt;&gt;""),EDATE(E214,6),"")</f>
        <v/>
      </c>
    </row>
    <row r="215">
      <c r="A215" s="12" t="n"/>
      <c r="B215" s="12" t="n"/>
      <c r="C215" s="22" t="n"/>
      <c r="D215" s="12" t="n"/>
      <c r="E215" s="23" t="n"/>
      <c r="F215" s="23" t="n"/>
      <c r="G215" s="24">
        <f>IF(F215="","",F215+3)</f>
        <v/>
      </c>
      <c r="H215" s="24">
        <f>IF(F215="","",F215+7)</f>
        <v/>
      </c>
      <c r="I215" s="12" t="n"/>
      <c r="J215" s="12" t="n"/>
      <c r="K215" s="12" t="n"/>
      <c r="L215" s="24">
        <f>IF(AND(D215="Perdida",E215&lt;&gt;""),EDATE(E215,6),"")</f>
        <v/>
      </c>
    </row>
  </sheetData>
  <conditionalFormatting sqref="G16:H215">
    <cfRule type="expression" priority="1" dxfId="0">
      <formula>AND(G16&lt;&gt;"",G16&lt;=TODAY(),$D16="Propuesta enviada")</formula>
    </cfRule>
  </conditionalFormatting>
  <dataValidations count="1">
    <dataValidation sqref="D16:D215" showDropDown="0" showInputMessage="0" showErrorMessage="1" allowBlank="1" errorTitle="Valor no válido" error="Elige una opción de la lista." type="list">
      <formula1>"Contacto nuevo,Cualificado,Propuesta enviada,Negociación,Ganada,Perdida"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2026-10-22T19:22:29Z</dcterms:created>
  <dcterms:modified xmlns:dcterms="http://purl.org/dc/terms/" xmlns:xsi="http://www.w3.org/2001/XMLSchema-instance" xsi:type="dcterms:W3CDTF">2026-10-22T19:22:30Z</dcterms:modified>
</cp:coreProperties>
</file>