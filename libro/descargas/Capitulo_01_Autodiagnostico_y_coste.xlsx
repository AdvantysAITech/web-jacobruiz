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ómo usarlo" sheetId="1" state="visible" r:id="rId1"/>
    <sheet xmlns:r="http://schemas.openxmlformats.org/officeDocument/2006/relationships" name="Autodiagnóstico" sheetId="2" state="visible" r:id="rId2"/>
    <sheet xmlns:r="http://schemas.openxmlformats.org/officeDocument/2006/relationships" name="Coste del trabajo man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#,##0.00 &quot;€&quot;"/>
    <numFmt numFmtId="166" formatCode="#,##0 &quot;€&quot;"/>
  </numFmts>
  <fonts count="12">
    <font>
      <name val="Calibri"/>
      <family val="2"/>
      <color theme="1"/>
      <sz val="11"/>
      <scheme val="minor"/>
    </font>
    <font>
      <name val="Arial"/>
      <b val="1"/>
      <color rgb="008A5E00"/>
      <sz val="8"/>
    </font>
    <font>
      <name val="Arial"/>
      <b val="1"/>
      <color rgb="001F1F1F"/>
      <sz val="16"/>
    </font>
    <font>
      <name val="Arial"/>
      <color rgb="006B6B6B"/>
      <sz val="10"/>
    </font>
    <font>
      <name val="Arial"/>
      <b val="1"/>
      <sz val="11"/>
    </font>
    <font>
      <name val="Arial"/>
      <sz val="10"/>
    </font>
    <font>
      <name val="Arial"/>
      <b val="1"/>
      <color rgb="008A5E00"/>
      <sz val="9"/>
    </font>
    <font>
      <name val="Arial"/>
      <color rgb="006B6B6B"/>
      <sz val="8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color rgb="001F1F1F"/>
      <sz val="9"/>
    </font>
    <font>
      <name val="Arial"/>
      <i val="1"/>
      <color rgb="006B6B6B"/>
      <sz val="9"/>
    </font>
  </fonts>
  <fills count="6">
    <fill>
      <patternFill/>
    </fill>
    <fill>
      <patternFill patternType="gray125"/>
    </fill>
    <fill>
      <patternFill patternType="solid">
        <fgColor rgb="00FFF8E6"/>
      </patternFill>
    </fill>
    <fill>
      <patternFill patternType="solid">
        <fgColor rgb="001F1F1F"/>
      </patternFill>
    </fill>
    <fill>
      <patternFill patternType="solid">
        <fgColor rgb="00FBEFD3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top style="thick">
        <color rgb="00E3A72F"/>
      </top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2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8" fillId="3" borderId="2" applyAlignment="1" pivotButton="0" quotePrefix="0" xfId="0">
      <alignment vertical="center" wrapText="1"/>
    </xf>
    <xf numFmtId="0" fontId="9" fillId="4" borderId="2" applyAlignment="1" pivotButton="0" quotePrefix="0" xfId="0">
      <alignment vertical="top" wrapText="1"/>
    </xf>
    <xf numFmtId="0" fontId="10" fillId="0" borderId="2" applyAlignment="1" pivotButton="0" quotePrefix="0" xfId="0">
      <alignment horizontal="center" vertical="top" wrapText="1"/>
    </xf>
    <xf numFmtId="0" fontId="10" fillId="0" borderId="2" applyAlignment="1" pivotButton="0" quotePrefix="0" xfId="0">
      <alignment vertical="top" wrapText="1"/>
    </xf>
    <xf numFmtId="0" fontId="10" fillId="2" borderId="2" applyAlignment="1" pivotButton="0" quotePrefix="0" xfId="0">
      <alignment horizontal="center" vertical="top" wrapText="1"/>
    </xf>
    <xf numFmtId="164" fontId="10" fillId="0" borderId="2" applyAlignment="1" pivotButton="0" quotePrefix="0" xfId="0">
      <alignment horizontal="center" vertical="top" wrapText="1"/>
    </xf>
    <xf numFmtId="0" fontId="10" fillId="5" borderId="2" applyAlignment="1" pivotButton="0" quotePrefix="0" xfId="0">
      <alignment vertical="top" wrapText="1"/>
    </xf>
    <xf numFmtId="0" fontId="9" fillId="5" borderId="2" applyAlignment="1" pivotButton="0" quotePrefix="0" xfId="0">
      <alignment vertical="top" wrapText="1"/>
    </xf>
    <xf numFmtId="164" fontId="9" fillId="5" borderId="2" applyAlignment="1" pivotButton="0" quotePrefix="0" xfId="0">
      <alignment horizontal="center" vertical="top" wrapText="1"/>
    </xf>
    <xf numFmtId="0" fontId="9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10" fillId="2" borderId="2" applyAlignment="1" pivotButton="0" quotePrefix="0" xfId="0">
      <alignment vertical="top" wrapText="1"/>
    </xf>
    <xf numFmtId="3" fontId="10" fillId="0" borderId="2" applyAlignment="1" pivotButton="0" quotePrefix="0" xfId="0">
      <alignment horizontal="center" vertical="top" wrapText="1"/>
    </xf>
    <xf numFmtId="165" fontId="10" fillId="2" borderId="2" applyAlignment="1" pivotButton="0" quotePrefix="0" xfId="0">
      <alignment horizontal="center" vertical="top" wrapText="1"/>
    </xf>
    <xf numFmtId="166" fontId="10" fillId="0" borderId="2" applyAlignment="1" pivotButton="0" quotePrefix="0" xfId="0">
      <alignment horizontal="center" vertical="top" wrapText="1"/>
    </xf>
    <xf numFmtId="3" fontId="9" fillId="5" borderId="2" applyAlignment="1" pivotButton="0" quotePrefix="0" xfId="0">
      <alignment horizontal="center" vertical="top" wrapText="1"/>
    </xf>
    <xf numFmtId="166" fontId="9" fillId="5" borderId="2" applyAlignment="1" pivotButton="0" quotePrefix="0" xfId="0">
      <alignment horizontal="center" vertical="top" wrapText="1"/>
    </xf>
    <xf numFmtId="0" fontId="11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CAPÍTULO 1 · MATERIAL PRÁCTICO</t>
        </is>
      </c>
      <c r="B1" s="2" t="n"/>
    </row>
    <row r="2" ht="24" customHeight="1">
      <c r="A2" s="3" t="inlineStr">
        <is>
          <t>Autodiagnóstico y coste del trabajo manual</t>
        </is>
      </c>
    </row>
    <row r="3">
      <c r="A3" s="4" t="inlineStr">
        <is>
          <t>Material complementario de «Vende más y trabaja menos»</t>
        </is>
      </c>
    </row>
    <row r="6">
      <c r="A6" s="5" t="inlineStr">
        <is>
          <t>1. Autodiagnóstico</t>
        </is>
      </c>
    </row>
    <row r="7" ht="30" customHeight="1">
      <c r="B7" s="6" t="inlineStr">
        <is>
          <t>Responde a las quince afirmaciones pensando en cómo funciona hoy tu empresa, no en cómo te gustaría que funcionara.</t>
        </is>
      </c>
    </row>
    <row r="8" ht="15" customHeight="1">
      <c r="B8" s="6" t="inlineStr">
        <is>
          <t>Puntúa cada una con 2 si se cumple siempre, con 1 si se cumple a veces y con 0 si no se cumple.</t>
        </is>
      </c>
    </row>
    <row r="9" ht="30" customHeight="1">
      <c r="B9" s="6" t="inlineStr">
        <is>
          <t>Mejor aún: pide a dos personas de tu equipo que lo rellenen por separado, cada una en su columna. La hoja calcula la media, los subtotales, el total y el bloque más débil.</t>
        </is>
      </c>
    </row>
    <row r="10" ht="15" customHeight="1">
      <c r="B10" s="6" t="inlineStr">
        <is>
          <t>Fíjate sobre todo en el bloque con menos puntos: ahí está tu primer cuello de botella.</t>
        </is>
      </c>
    </row>
    <row r="12">
      <c r="A12" s="5" t="inlineStr">
        <is>
          <t>2. Coste del trabajo manual</t>
        </is>
      </c>
    </row>
    <row r="13" ht="30" customHeight="1">
      <c r="B13" s="6" t="inlineStr">
        <is>
          <t>Apunta las cinco tareas repetitivas que más tiempo consumen, cuántos minutos lleva hacerlas una vez y cuántas veces se hacen a la semana.</t>
        </is>
      </c>
    </row>
    <row r="14" ht="30" customHeight="1">
      <c r="B14" s="6" t="inlineStr">
        <is>
          <t>La hoja calcula las horas al año con la fórmula del libro: horas al año = minutos × veces por semana × semanas ÷ 60. Por defecto usa 46 semanas, para descontar vacaciones y festivos; puedes cambiarlo.</t>
        </is>
      </c>
    </row>
    <row r="15" ht="30" customHeight="1">
      <c r="B15" s="6" t="inlineStr">
        <is>
          <t>Ejemplo del libro: si contestar a mano cada solicitud de información lleva 10 minutos y entran 15 a la semana, son 10 × 15 × 46 ÷ 60 = 115 horas al año.</t>
        </is>
      </c>
    </row>
    <row r="16" ht="30" customHeight="1">
      <c r="B16" s="6" t="inlineStr">
        <is>
          <t>Añade lo que te cuesta una hora de la persona que hace cada tarea y tendrás el coste directo. Las tres tareas que más horas suman serán tu punto de partida en el capítulo 2.</t>
        </is>
      </c>
    </row>
    <row r="18">
      <c r="A18" s="7" t="n"/>
      <c r="B18" s="8" t="inlineStr">
        <is>
          <t>Las celdas en amarillo claro son para rellenar. Las demás se calculan solas.</t>
        </is>
      </c>
    </row>
    <row r="20" ht="26" customHeight="1">
      <c r="B20" s="9" t="inlineStr">
        <is>
          <t>Material complementario del libro «Vende más y trabaja menos», de Jacob Ruiz. © 2026 Jacob Ruiz. Uso libre en tu empresa; no se permite su venta ni su distribución como material propio.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&amp;L&amp;7 Vende más y trabaja menos · Jacob Ruiz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0" customWidth="1" min="2" max="2"/>
    <col width="11" customWidth="1" min="3" max="3"/>
    <col width="11" customWidth="1" min="4" max="4"/>
    <col width="11" customWidth="1" min="5" max="5"/>
    <col width="11" customWidth="1" min="6" max="6"/>
    <col width="3" customWidth="1" min="7" max="7"/>
  </cols>
  <sheetData>
    <row r="1">
      <c r="A1" s="1" t="inlineStr">
        <is>
          <t>CAPÍTULO 1 · MATERIAL PRÁCTICO</t>
        </is>
      </c>
      <c r="B1" s="2" t="n"/>
      <c r="C1" s="2" t="n"/>
      <c r="D1" s="2" t="n"/>
      <c r="E1" s="2" t="n"/>
      <c r="F1" s="2" t="n"/>
      <c r="G1" s="2" t="n"/>
    </row>
    <row r="2" ht="24" customHeight="1">
      <c r="A2" s="3" t="inlineStr">
        <is>
          <t>Autodiagnóstico de automatización</t>
        </is>
      </c>
    </row>
    <row r="3">
      <c r="A3" s="4" t="inlineStr">
        <is>
          <t>Puntúa cada afirmación: 2 = siempre, 1 = a veces, 0 = no se cumple</t>
        </is>
      </c>
    </row>
    <row r="5" ht="30" customHeight="1">
      <c r="A5" s="10" t="inlineStr">
        <is>
          <t>N.º</t>
        </is>
      </c>
      <c r="B5" s="10" t="inlineStr">
        <is>
          <t>Afirmación</t>
        </is>
      </c>
      <c r="C5" s="10" t="inlineStr">
        <is>
          <t>Tú</t>
        </is>
      </c>
      <c r="D5" s="10" t="inlineStr">
        <is>
          <t>Persona 2</t>
        </is>
      </c>
      <c r="E5" s="10" t="inlineStr">
        <is>
          <t>Persona 3</t>
        </is>
      </c>
      <c r="F5" s="10" t="inlineStr">
        <is>
          <t>Media</t>
        </is>
      </c>
    </row>
    <row r="6">
      <c r="A6" s="11" t="inlineStr">
        <is>
          <t>Atraer</t>
        </is>
      </c>
    </row>
    <row r="7">
      <c r="A7" s="12" t="n">
        <v>1</v>
      </c>
      <c r="B7" s="13" t="inlineStr">
        <is>
          <t>Sé de qué canal llega cada contacto nuevo.</t>
        </is>
      </c>
      <c r="C7" s="14" t="n"/>
      <c r="D7" s="14" t="n"/>
      <c r="E7" s="14" t="n"/>
      <c r="F7" s="15">
        <f>IF(COUNT(C7:E7)=0,"",AVERAGE(C7:E7))</f>
        <v/>
      </c>
    </row>
    <row r="8">
      <c r="A8" s="12" t="n">
        <v>2</v>
      </c>
      <c r="B8" s="13" t="inlineStr">
        <is>
          <t>Quien deja sus datos en mi web recibe respuesta en menos de una hora, aunque sea fuera del horario laboral.</t>
        </is>
      </c>
      <c r="C8" s="14" t="n"/>
      <c r="D8" s="14" t="n"/>
      <c r="E8" s="14" t="n"/>
      <c r="F8" s="15">
        <f>IF(COUNT(C8:E8)=0,"",AVERAGE(C8:E8))</f>
        <v/>
      </c>
    </row>
    <row r="9">
      <c r="A9" s="12" t="n">
        <v>3</v>
      </c>
      <c r="B9" s="13" t="inlineStr">
        <is>
          <t>Tengo todos mis contactos en un solo sitio, sin duplicados ni datos de hace años.</t>
        </is>
      </c>
      <c r="C9" s="14" t="n"/>
      <c r="D9" s="14" t="n"/>
      <c r="E9" s="14" t="n"/>
      <c r="F9" s="15">
        <f>IF(COUNT(C9:E9)=0,"",AVERAGE(C9:E9))</f>
        <v/>
      </c>
    </row>
    <row r="10">
      <c r="A10" s="12" t="n">
        <v>4</v>
      </c>
      <c r="B10" s="13" t="inlineStr">
        <is>
          <t>Envío comunicaciones distintas según el tipo de cliente.</t>
        </is>
      </c>
      <c r="C10" s="14" t="n"/>
      <c r="D10" s="14" t="n"/>
      <c r="E10" s="14" t="n"/>
      <c r="F10" s="15">
        <f>IF(COUNT(C10:E10)=0,"",AVERAGE(C10:E10))</f>
        <v/>
      </c>
    </row>
    <row r="11">
      <c r="A11" s="12" t="n">
        <v>5</v>
      </c>
      <c r="B11" s="13" t="inlineStr">
        <is>
          <t>Mis publicaciones en redes sociales se planifican con antelación y no dependen de que alguien tenga un hueco.</t>
        </is>
      </c>
      <c r="C11" s="14" t="n"/>
      <c r="D11" s="14" t="n"/>
      <c r="E11" s="14" t="n"/>
      <c r="F11" s="15">
        <f>IF(COUNT(C11:E11)=0,"",AVERAGE(C11:E11))</f>
        <v/>
      </c>
    </row>
    <row r="12">
      <c r="A12" s="16" t="n"/>
      <c r="B12" s="17" t="inlineStr">
        <is>
          <t>Subtotal Atraer (máximo 10)</t>
        </is>
      </c>
      <c r="C12" s="18">
        <f>IF(COUNT(C7:C11)=0,"",SUM(C7:C11))</f>
        <v/>
      </c>
      <c r="D12" s="18">
        <f>IF(COUNT(D7:D11)=0,"",SUM(D7:D11))</f>
        <v/>
      </c>
      <c r="E12" s="18">
        <f>IF(COUNT(E7:E11)=0,"",SUM(E7:E11))</f>
        <v/>
      </c>
      <c r="F12" s="18">
        <f>IF(COUNT(F7:F11)=0,"",SUM(F7:F11))</f>
        <v/>
      </c>
    </row>
    <row r="13">
      <c r="A13" s="11" t="inlineStr">
        <is>
          <t>Vender</t>
        </is>
      </c>
    </row>
    <row r="14">
      <c r="A14" s="12" t="n">
        <v>6</v>
      </c>
      <c r="B14" s="13" t="inlineStr">
        <is>
          <t>Cada presupuesto enviado tiene una fecha de seguimiento asignada.</t>
        </is>
      </c>
      <c r="C14" s="14" t="n"/>
      <c r="D14" s="14" t="n"/>
      <c r="E14" s="14" t="n"/>
      <c r="F14" s="15">
        <f>IF(COUNT(C14:E14)=0,"",AVERAGE(C14:E14))</f>
        <v/>
      </c>
    </row>
    <row r="15">
      <c r="A15" s="12" t="n">
        <v>7</v>
      </c>
      <c r="B15" s="13" t="inlineStr">
        <is>
          <t>Sé en todo momento cuántas oportunidades hay abiertas y en qué fase está cada una.</t>
        </is>
      </c>
      <c r="C15" s="14" t="n"/>
      <c r="D15" s="14" t="n"/>
      <c r="E15" s="14" t="n"/>
      <c r="F15" s="15">
        <f>IF(COUNT(C15:E15)=0,"",AVERAGE(C15:E15))</f>
        <v/>
      </c>
    </row>
    <row r="16">
      <c r="A16" s="12" t="n">
        <v>8</v>
      </c>
      <c r="B16" s="13" t="inlineStr">
        <is>
          <t>Mi equipo comercial se entera cuando un cliente potencial vuelve a abrir mi propuesta o a visitar mi web.</t>
        </is>
      </c>
      <c r="C16" s="14" t="n"/>
      <c r="D16" s="14" t="n"/>
      <c r="E16" s="14" t="n"/>
      <c r="F16" s="15">
        <f>IF(COUNT(C16:E16)=0,"",AVERAGE(C16:E16))</f>
        <v/>
      </c>
    </row>
    <row r="17">
      <c r="A17" s="12" t="n">
        <v>9</v>
      </c>
      <c r="B17" s="13" t="inlineStr">
        <is>
          <t>Si un comercial se va mañana, el historial de sus clientes se queda en la empresa.</t>
        </is>
      </c>
      <c r="C17" s="14" t="n"/>
      <c r="D17" s="14" t="n"/>
      <c r="E17" s="14" t="n"/>
      <c r="F17" s="15">
        <f>IF(COUNT(C17:E17)=0,"",AVERAGE(C17:E17))</f>
        <v/>
      </c>
    </row>
    <row r="18">
      <c r="A18" s="12" t="n">
        <v>10</v>
      </c>
      <c r="B18" s="13" t="inlineStr">
        <is>
          <t>Sé qué porcentaje de los presupuestos que envío acabo cerrando.</t>
        </is>
      </c>
      <c r="C18" s="14" t="n"/>
      <c r="D18" s="14" t="n"/>
      <c r="E18" s="14" t="n"/>
      <c r="F18" s="15">
        <f>IF(COUNT(C18:E18)=0,"",AVERAGE(C18:E18))</f>
        <v/>
      </c>
    </row>
    <row r="19">
      <c r="A19" s="16" t="n"/>
      <c r="B19" s="17" t="inlineStr">
        <is>
          <t>Subtotal Vender (máximo 10)</t>
        </is>
      </c>
      <c r="C19" s="18">
        <f>IF(COUNT(C14:C18)=0,"",SUM(C14:C18))</f>
        <v/>
      </c>
      <c r="D19" s="18">
        <f>IF(COUNT(D14:D18)=0,"",SUM(D14:D18))</f>
        <v/>
      </c>
      <c r="E19" s="18">
        <f>IF(COUNT(E14:E18)=0,"",SUM(E14:E18))</f>
        <v/>
      </c>
      <c r="F19" s="18">
        <f>IF(COUNT(F14:F18)=0,"",SUM(F14:F18))</f>
        <v/>
      </c>
    </row>
    <row r="20">
      <c r="A20" s="11" t="inlineStr">
        <is>
          <t>Fidelizar</t>
        </is>
      </c>
    </row>
    <row r="21">
      <c r="A21" s="12" t="n">
        <v>11</v>
      </c>
      <c r="B21" s="13" t="inlineStr">
        <is>
          <t>Después de cada compra, el cliente recibe un mensaje de seguimiento.</t>
        </is>
      </c>
      <c r="C21" s="14" t="n"/>
      <c r="D21" s="14" t="n"/>
      <c r="E21" s="14" t="n"/>
      <c r="F21" s="15">
        <f>IF(COUNT(C21:E21)=0,"",AVERAGE(C21:E21))</f>
        <v/>
      </c>
    </row>
    <row r="22">
      <c r="A22" s="12" t="n">
        <v>12</v>
      </c>
      <c r="B22" s="13" t="inlineStr">
        <is>
          <t>Mido la satisfacción de mis clientes de forma periódica, no solo cuando hay una queja.</t>
        </is>
      </c>
      <c r="C22" s="14" t="n"/>
      <c r="D22" s="14" t="n"/>
      <c r="E22" s="14" t="n"/>
      <c r="F22" s="15">
        <f>IF(COUNT(C22:E22)=0,"",AVERAGE(C22:E22))</f>
        <v/>
      </c>
    </row>
    <row r="23">
      <c r="A23" s="12" t="n">
        <v>13</v>
      </c>
      <c r="B23" s="13" t="inlineStr">
        <is>
          <t>Mis clientes reciben un aviso antes de que venza su contrato, su garantía o su suscripción.</t>
        </is>
      </c>
      <c r="C23" s="14" t="n"/>
      <c r="D23" s="14" t="n"/>
      <c r="E23" s="14" t="n"/>
      <c r="F23" s="15">
        <f>IF(COUNT(C23:E23)=0,"",AVERAGE(C23:E23))</f>
        <v/>
      </c>
    </row>
    <row r="24">
      <c r="A24" s="12" t="n">
        <v>14</v>
      </c>
      <c r="B24" s="13" t="inlineStr">
        <is>
          <t>Las preguntas más frecuentes se responden sin que intervenga nadie del equipo.</t>
        </is>
      </c>
      <c r="C24" s="14" t="n"/>
      <c r="D24" s="14" t="n"/>
      <c r="E24" s="14" t="n"/>
      <c r="F24" s="15">
        <f>IF(COUNT(C24:E24)=0,"",AVERAGE(C24:E24))</f>
        <v/>
      </c>
    </row>
    <row r="25">
      <c r="A25" s="12" t="n">
        <v>15</v>
      </c>
      <c r="B25" s="13" t="inlineStr">
        <is>
          <t>Sé qué clientes llevan más de seis meses sin comprarme.</t>
        </is>
      </c>
      <c r="C25" s="14" t="n"/>
      <c r="D25" s="14" t="n"/>
      <c r="E25" s="14" t="n"/>
      <c r="F25" s="15">
        <f>IF(COUNT(C25:E25)=0,"",AVERAGE(C25:E25))</f>
        <v/>
      </c>
    </row>
    <row r="26">
      <c r="A26" s="16" t="n"/>
      <c r="B26" s="17" t="inlineStr">
        <is>
          <t>Subtotal Fidelizar (máximo 10)</t>
        </is>
      </c>
      <c r="C26" s="18">
        <f>IF(COUNT(C21:C25)=0,"",SUM(C21:C25))</f>
        <v/>
      </c>
      <c r="D26" s="18">
        <f>IF(COUNT(D21:D25)=0,"",SUM(D21:D25))</f>
        <v/>
      </c>
      <c r="E26" s="18">
        <f>IF(COUNT(E21:E25)=0,"",SUM(E21:E25))</f>
        <v/>
      </c>
      <c r="F26" s="18">
        <f>IF(COUNT(F21:F25)=0,"",SUM(F21:F25))</f>
        <v/>
      </c>
    </row>
    <row r="27">
      <c r="A27" s="16" t="n"/>
      <c r="B27" s="17" t="inlineStr">
        <is>
          <t>Total (máximo 30)</t>
        </is>
      </c>
      <c r="C27" s="18">
        <f>IF(COUNT(C12,C19,C26)=0,"",SUM(C12,C19,C26))</f>
        <v/>
      </c>
      <c r="D27" s="18">
        <f>IF(COUNT(D12,D19,D26)=0,"",SUM(D12,D19,D26))</f>
        <v/>
      </c>
      <c r="E27" s="18">
        <f>IF(COUNT(E12,E19,E26)=0,"",SUM(E12,E19,E26))</f>
        <v/>
      </c>
      <c r="F27" s="18">
        <f>IF(COUNT(F12,F19,F26)=0,"",SUM(F12,F19,F26))</f>
        <v/>
      </c>
    </row>
    <row r="29">
      <c r="B29" s="19" t="inlineStr">
        <is>
          <t>Tu resultado (según la media del equipo)</t>
        </is>
      </c>
      <c r="C29" s="19">
        <f>IF(F27="","",IF(F27&lt;=10,"De 0 a 10",IF(F27&lt;=20,"De 11 a 20","De 21 a 30")))</f>
        <v/>
      </c>
      <c r="D29" s="20" t="n"/>
      <c r="E29" s="20" t="n"/>
      <c r="F29" s="21" t="n"/>
    </row>
    <row r="30">
      <c r="B30" s="19" t="inlineStr">
        <is>
          <t>Tu bloque más débil, tu primer cuello de botella</t>
        </is>
      </c>
      <c r="C30" s="11">
        <f>IF(F27="","",IF(MIN(F12,F19,F26)=F12,"Atraer",IF(MIN(F12,F19,F26)=F19,"Vender","Fidelizar")))</f>
        <v/>
      </c>
      <c r="D30" s="20" t="n"/>
      <c r="E30" s="20" t="n"/>
      <c r="F30" s="21" t="n"/>
    </row>
    <row r="31" ht="30" customHeight="1">
      <c r="B31" s="19" t="inlineStr">
        <is>
          <t>Por dónde empezar</t>
        </is>
      </c>
      <c r="C31" s="13">
        <f>IF(F27="","",IF(F27&lt;=10,"Capítulo 2 y, en cuanto lo tengas claro, el seguimiento de presupuestos del capítulo 7.",IF(F27&lt;=20,"El bloque con menos puntos y el capítulo 11, para conectar tus herramientas.","Capítulos 10 y 12: inteligencia artificial y métricas.")))</f>
        <v/>
      </c>
      <c r="D31" s="20" t="n"/>
      <c r="E31" s="20" t="n"/>
      <c r="F31" s="21" t="n"/>
    </row>
    <row r="33" ht="30" customHeight="1">
      <c r="A33" s="10" t="inlineStr"/>
      <c r="B33" s="10" t="inlineStr">
        <is>
          <t>Cómo leer tu resultado</t>
        </is>
      </c>
      <c r="C33" s="10" t="inlineStr">
        <is>
          <t>Total</t>
        </is>
      </c>
      <c r="D33" s="20" t="n"/>
      <c r="E33" s="20" t="n"/>
      <c r="F33" s="21" t="n"/>
    </row>
    <row r="34" ht="30" customHeight="1">
      <c r="B34" s="13" t="inlineStr">
        <is>
          <t>Casi todo depende de la memoria del equipo. Es donde antes se nota el cambio. Empieza por: Capítulo 2 y, en cuanto lo tengas claro, el seguimiento de presupuestos del capítulo 7.</t>
        </is>
      </c>
      <c r="C34" s="19" t="inlineStr">
        <is>
          <t>De 0 a 10</t>
        </is>
      </c>
      <c r="D34" s="20" t="n"/>
      <c r="E34" s="20" t="n"/>
      <c r="F34" s="21" t="n"/>
    </row>
    <row r="35" ht="30" customHeight="1">
      <c r="B35" s="13" t="inlineStr">
        <is>
          <t>Tienes piezas que funcionan, pero sueltas y sin conectar. Empieza por: El bloque con menos puntos y el capítulo 11, para conectar tus herramientas.</t>
        </is>
      </c>
      <c r="C35" s="19" t="inlineStr">
        <is>
          <t>De 11 a 20</t>
        </is>
      </c>
      <c r="D35" s="20" t="n"/>
      <c r="E35" s="20" t="n"/>
      <c r="F35" s="21" t="n"/>
    </row>
    <row r="36" ht="30" customHeight="1">
      <c r="B36" s="13" t="inlineStr">
        <is>
          <t>Ya automatizas bastante. Tu margen está en afinar y en medir. Empieza por: Capítulos 10 y 12: inteligencia artificial y métricas.</t>
        </is>
      </c>
      <c r="C36" s="19" t="inlineStr">
        <is>
          <t>De 21 a 30</t>
        </is>
      </c>
      <c r="D36" s="20" t="n"/>
      <c r="E36" s="20" t="n"/>
      <c r="F36" s="21" t="n"/>
    </row>
  </sheetData>
  <mergeCells count="10">
    <mergeCell ref="C31:F31"/>
    <mergeCell ref="A13:F13"/>
    <mergeCell ref="C35:F35"/>
    <mergeCell ref="C34:F34"/>
    <mergeCell ref="C29:F29"/>
    <mergeCell ref="C30:F30"/>
    <mergeCell ref="A6:F6"/>
    <mergeCell ref="C33:F33"/>
    <mergeCell ref="A20:F20"/>
    <mergeCell ref="C36:F36"/>
  </mergeCells>
  <dataValidations count="1">
    <dataValidation sqref="C7:E27" showDropDown="0" showInputMessage="0" showErrorMessage="1" allowBlank="1" error="Escribe un número entre 0 y 2." type="whole" operator="between">
      <formula1>0</formula1>
      <formula2>2</formula2>
    </dataValidation>
  </dataValidations>
  <pageMargins left="0.75" right="0.75" top="1" bottom="1" header="0.5" footer="0.5"/>
  <pageSetup orientation="landscape" paperSize="9" fitToHeight="0" fitToWidth="1"/>
  <headerFooter>
    <oddHeader/>
    <oddFooter>&amp;L&amp;7 Vende más y trabaja menos · Jacob Ruiz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4" customWidth="1" min="5" max="5"/>
    <col width="15" customWidth="1" min="6" max="6"/>
    <col width="3" customWidth="1" min="7" max="7"/>
  </cols>
  <sheetData>
    <row r="1">
      <c r="A1" s="1" t="inlineStr">
        <is>
          <t>CAPÍTULO 1 · MATERIAL PRÁCTICO</t>
        </is>
      </c>
      <c r="B1" s="2" t="n"/>
      <c r="C1" s="2" t="n"/>
      <c r="D1" s="2" t="n"/>
      <c r="E1" s="2" t="n"/>
      <c r="F1" s="2" t="n"/>
      <c r="G1" s="2" t="n"/>
    </row>
    <row r="2" ht="24" customHeight="1">
      <c r="A2" s="3" t="inlineStr">
        <is>
          <t>Cuánto te cuesta hacerlo a mano</t>
        </is>
      </c>
    </row>
    <row r="3">
      <c r="A3" s="4" t="inlineStr">
        <is>
          <t>Horas al año = minutos × veces por semana × semanas ÷ 60</t>
        </is>
      </c>
    </row>
    <row r="5">
      <c r="A5" s="19" t="inlineStr">
        <is>
          <t>Semanas de trabajo al año</t>
        </is>
      </c>
      <c r="B5" s="14" t="n">
        <v>46</v>
      </c>
    </row>
    <row r="7" ht="30" customHeight="1">
      <c r="A7" s="10" t="inlineStr">
        <is>
          <t>Tarea repetitiva</t>
        </is>
      </c>
      <c r="B7" s="10" t="inlineStr">
        <is>
          <t>Minutos por vez</t>
        </is>
      </c>
      <c r="C7" s="10" t="inlineStr">
        <is>
          <t>Veces por semana</t>
        </is>
      </c>
      <c r="D7" s="10" t="inlineStr">
        <is>
          <t>Horas al año</t>
        </is>
      </c>
      <c r="E7" s="10" t="inlineStr">
        <is>
          <t>Coste por hora (€)</t>
        </is>
      </c>
      <c r="F7" s="10" t="inlineStr">
        <is>
          <t>Coste al año (€)</t>
        </is>
      </c>
    </row>
    <row r="8">
      <c r="A8" s="22" t="n"/>
      <c r="B8" s="14" t="n"/>
      <c r="C8" s="14" t="n"/>
      <c r="D8" s="23">
        <f>IF(AND(N(B8)&gt;0,N(C8)&gt;0),B8*C8*$B$5/60,"")</f>
        <v/>
      </c>
      <c r="E8" s="24" t="n"/>
      <c r="F8" s="25">
        <f>IF(AND(D8&lt;&gt;"",N(E8)&gt;0),D8*E8,"")</f>
        <v/>
      </c>
    </row>
    <row r="9">
      <c r="A9" s="22" t="n"/>
      <c r="B9" s="14" t="n"/>
      <c r="C9" s="14" t="n"/>
      <c r="D9" s="23">
        <f>IF(AND(N(B9)&gt;0,N(C9)&gt;0),B9*C9*$B$5/60,"")</f>
        <v/>
      </c>
      <c r="E9" s="24" t="n"/>
      <c r="F9" s="25">
        <f>IF(AND(D9&lt;&gt;"",N(E9)&gt;0),D9*E9,"")</f>
        <v/>
      </c>
    </row>
    <row r="10">
      <c r="A10" s="22" t="n"/>
      <c r="B10" s="14" t="n"/>
      <c r="C10" s="14" t="n"/>
      <c r="D10" s="23">
        <f>IF(AND(N(B10)&gt;0,N(C10)&gt;0),B10*C10*$B$5/60,"")</f>
        <v/>
      </c>
      <c r="E10" s="24" t="n"/>
      <c r="F10" s="25">
        <f>IF(AND(D10&lt;&gt;"",N(E10)&gt;0),D10*E10,"")</f>
        <v/>
      </c>
    </row>
    <row r="11">
      <c r="A11" s="22" t="n"/>
      <c r="B11" s="14" t="n"/>
      <c r="C11" s="14" t="n"/>
      <c r="D11" s="23">
        <f>IF(AND(N(B11)&gt;0,N(C11)&gt;0),B11*C11*$B$5/60,"")</f>
        <v/>
      </c>
      <c r="E11" s="24" t="n"/>
      <c r="F11" s="25">
        <f>IF(AND(D11&lt;&gt;"",N(E11)&gt;0),D11*E11,"")</f>
        <v/>
      </c>
    </row>
    <row r="12">
      <c r="A12" s="22" t="n"/>
      <c r="B12" s="14" t="n"/>
      <c r="C12" s="14" t="n"/>
      <c r="D12" s="23">
        <f>IF(AND(N(B12)&gt;0,N(C12)&gt;0),B12*C12*$B$5/60,"")</f>
        <v/>
      </c>
      <c r="E12" s="24" t="n"/>
      <c r="F12" s="25">
        <f>IF(AND(D12&lt;&gt;"",N(E12)&gt;0),D12*E12,"")</f>
        <v/>
      </c>
    </row>
    <row r="13">
      <c r="A13" s="22" t="n"/>
      <c r="B13" s="14" t="n"/>
      <c r="C13" s="14" t="n"/>
      <c r="D13" s="23">
        <f>IF(AND(N(B13)&gt;0,N(C13)&gt;0),B13*C13*$B$5/60,"")</f>
        <v/>
      </c>
      <c r="E13" s="24" t="n"/>
      <c r="F13" s="25">
        <f>IF(AND(D13&lt;&gt;"",N(E13)&gt;0),D13*E13,"")</f>
        <v/>
      </c>
    </row>
    <row r="14">
      <c r="A14" s="22" t="n"/>
      <c r="B14" s="14" t="n"/>
      <c r="C14" s="14" t="n"/>
      <c r="D14" s="23">
        <f>IF(AND(N(B14)&gt;0,N(C14)&gt;0),B14*C14*$B$5/60,"")</f>
        <v/>
      </c>
      <c r="E14" s="24" t="n"/>
      <c r="F14" s="25">
        <f>IF(AND(D14&lt;&gt;"",N(E14)&gt;0),D14*E14,"")</f>
        <v/>
      </c>
    </row>
    <row r="15">
      <c r="A15" s="22" t="n"/>
      <c r="B15" s="14" t="n"/>
      <c r="C15" s="14" t="n"/>
      <c r="D15" s="23">
        <f>IF(AND(N(B15)&gt;0,N(C15)&gt;0),B15*C15*$B$5/60,"")</f>
        <v/>
      </c>
      <c r="E15" s="24" t="n"/>
      <c r="F15" s="25">
        <f>IF(AND(D15&lt;&gt;"",N(E15)&gt;0),D15*E15,"")</f>
        <v/>
      </c>
    </row>
    <row r="16">
      <c r="A16" s="22" t="n"/>
      <c r="B16" s="14" t="n"/>
      <c r="C16" s="14" t="n"/>
      <c r="D16" s="23">
        <f>IF(AND(N(B16)&gt;0,N(C16)&gt;0),B16*C16*$B$5/60,"")</f>
        <v/>
      </c>
      <c r="E16" s="24" t="n"/>
      <c r="F16" s="25">
        <f>IF(AND(D16&lt;&gt;"",N(E16)&gt;0),D16*E16,"")</f>
        <v/>
      </c>
    </row>
    <row r="17">
      <c r="A17" s="22" t="n"/>
      <c r="B17" s="14" t="n"/>
      <c r="C17" s="14" t="n"/>
      <c r="D17" s="23">
        <f>IF(AND(N(B17)&gt;0,N(C17)&gt;0),B17*C17*$B$5/60,"")</f>
        <v/>
      </c>
      <c r="E17" s="24" t="n"/>
      <c r="F17" s="25">
        <f>IF(AND(D17&lt;&gt;"",N(E17)&gt;0),D17*E17,"")</f>
        <v/>
      </c>
    </row>
    <row r="18">
      <c r="A18" s="17" t="inlineStr">
        <is>
          <t>Total</t>
        </is>
      </c>
      <c r="B18" s="16" t="n"/>
      <c r="C18" s="16" t="n"/>
      <c r="D18" s="26">
        <f>SUM(D8:D17)</f>
        <v/>
      </c>
      <c r="E18" s="16" t="n"/>
      <c r="F18" s="27">
        <f>SUM(F8:F17)</f>
        <v/>
      </c>
    </row>
    <row r="20">
      <c r="A20" s="11" t="inlineStr">
        <is>
          <t>Tus tres tareas con más horas: tu punto de partida en el capítulo 2</t>
        </is>
      </c>
      <c r="B20" s="20" t="n"/>
      <c r="C20" s="20" t="n"/>
      <c r="D20" s="20" t="n"/>
      <c r="E20" s="20" t="n"/>
      <c r="F20" s="21" t="n"/>
    </row>
    <row r="21">
      <c r="A21" s="13">
        <f>IFERROR(INDEX($A$8:$A$17,MATCH(LARGE($D$8:$D$17,1),$D$8:$D$17,0)),"")</f>
        <v/>
      </c>
      <c r="B21" s="20" t="n"/>
      <c r="C21" s="21" t="n"/>
      <c r="D21" s="23">
        <f>IFERROR(LARGE($D$8:$D$17,1),"")</f>
        <v/>
      </c>
    </row>
    <row r="22">
      <c r="A22" s="13">
        <f>IFERROR(INDEX($A$8:$A$17,MATCH(LARGE($D$8:$D$17,2),$D$8:$D$17,0)),"")</f>
        <v/>
      </c>
      <c r="B22" s="20" t="n"/>
      <c r="C22" s="21" t="n"/>
      <c r="D22" s="23">
        <f>IFERROR(LARGE($D$8:$D$17,2),"")</f>
        <v/>
      </c>
    </row>
    <row r="23">
      <c r="A23" s="13">
        <f>IFERROR(INDEX($A$8:$A$17,MATCH(LARGE($D$8:$D$17,3),$D$8:$D$17,0)),"")</f>
        <v/>
      </c>
      <c r="B23" s="20" t="n"/>
      <c r="C23" s="21" t="n"/>
      <c r="D23" s="23">
        <f>IFERROR(LARGE($D$8:$D$17,3),"")</f>
        <v/>
      </c>
    </row>
    <row r="25" ht="30" customHeight="1">
      <c r="A25" s="28" t="inlineStr">
        <is>
          <t>A este coste directo súmale el que no se ve: los presupuestos que nadie siguió y los clientes que se fueron sin avisar. No hace falta un cálculo exacto; basta con una idea honesta.</t>
        </is>
      </c>
      <c r="B25" s="20" t="n"/>
      <c r="C25" s="20" t="n"/>
      <c r="D25" s="20" t="n"/>
      <c r="E25" s="20" t="n"/>
      <c r="F25" s="21" t="n"/>
    </row>
  </sheetData>
  <mergeCells count="5">
    <mergeCell ref="A23:C23"/>
    <mergeCell ref="A22:C22"/>
    <mergeCell ref="A21:C21"/>
    <mergeCell ref="A20:F20"/>
    <mergeCell ref="A25:F25"/>
  </mergeCells>
  <pageMargins left="0.75" right="0.75" top="1" bottom="1" header="0.5" footer="0.5"/>
  <pageSetup orientation="landscape" paperSize="9" fitToHeight="0" fitToWidth="1"/>
  <headerFooter>
    <oddHeader/>
    <oddFooter>&amp;L&amp;7 Vende más y trabaja menos · Jacob Ruiz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2026-10-22T19:22:23Z</dcterms:created>
  <dcterms:modified xmlns:dcterms="http://purl.org/dc/terms/" xmlns:xsi="http://www.w3.org/2001/XMLSchema-instance" xsi:type="dcterms:W3CDTF">2026-10-22T19:22:23Z</dcterms:modified>
</cp:coreProperties>
</file>