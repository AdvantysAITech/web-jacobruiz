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étricas" sheetId="3" state="visible" r:id="rId3"/>
    <sheet xmlns:r="http://schemas.openxmlformats.org/officeDocument/2006/relationships" name="Cuadro de man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mmm yyyy"/>
    <numFmt numFmtId="165" formatCode="#,##0 &quot;€&quot;"/>
    <numFmt numFmtId="166" formatCode="0.0"/>
    <numFmt numFmtId="167" formatCode="0.0%"/>
    <numFmt numFmtId="168" formatCode="#,##0.00 &quot;€&quot;"/>
    <numFmt numFmtId="169" formatCode="+0;-0;0"/>
    <numFmt numFmtId="170" formatCode="0.0&quot; x&quot;"/>
    <numFmt numFmtId="171" formatCode="mmmm yyyy"/>
    <numFmt numFmtId="172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FFFFFF"/>
      <sz val="9"/>
    </font>
    <font>
      <name val="Arial"/>
      <i val="1"/>
      <color rgb="006B6B6B"/>
      <sz val="9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164" fontId="9" fillId="2" borderId="2" applyAlignment="1" pivotButton="0" quotePrefix="0" xfId="0">
      <alignment horizontal="center" vertical="top" wrapText="1"/>
    </xf>
    <xf numFmtId="0" fontId="10" fillId="3" borderId="2" applyAlignment="1" pivotButton="0" quotePrefix="0" xfId="0">
      <alignment vertical="center" wrapText="1"/>
    </xf>
    <xf numFmtId="164" fontId="10" fillId="3" borderId="2" applyAlignment="1" pivotButton="0" quotePrefix="0" xfId="0">
      <alignment vertical="center" wrapText="1"/>
    </xf>
    <xf numFmtId="1" fontId="9" fillId="2" borderId="2" applyAlignment="1" pivotButton="0" quotePrefix="0" xfId="0">
      <alignment horizontal="center" vertical="top" wrapText="1"/>
    </xf>
    <xf numFmtId="165" fontId="9" fillId="2" borderId="2" applyAlignment="1" pivotButton="0" quotePrefix="0" xfId="0">
      <alignment horizontal="center" vertical="top" wrapText="1"/>
    </xf>
    <xf numFmtId="166" fontId="9" fillId="2" borderId="2" applyAlignment="1" pivotButton="0" quotePrefix="0" xfId="0">
      <alignment horizontal="center" vertical="top" wrapText="1"/>
    </xf>
    <xf numFmtId="167" fontId="9" fillId="0" borderId="2" applyAlignment="1" pivotButton="0" quotePrefix="0" xfId="0">
      <alignment horizontal="center" vertical="top" wrapText="1"/>
    </xf>
    <xf numFmtId="168" fontId="9" fillId="0" borderId="2" applyAlignment="1" pivotButton="0" quotePrefix="0" xfId="0">
      <alignment horizontal="center" vertical="top" wrapText="1"/>
    </xf>
    <xf numFmtId="165" fontId="9" fillId="0" borderId="2" applyAlignment="1" pivotButton="0" quotePrefix="0" xfId="0">
      <alignment horizontal="center" vertical="top" wrapText="1"/>
    </xf>
    <xf numFmtId="169" fontId="9" fillId="0" borderId="2" applyAlignment="1" pivotButton="0" quotePrefix="0" xfId="0">
      <alignment horizontal="center" vertical="top" wrapText="1"/>
    </xf>
    <xf numFmtId="166" fontId="9" fillId="0" borderId="2" applyAlignment="1" pivotButton="0" quotePrefix="0" xfId="0">
      <alignment horizontal="center" vertical="top" wrapText="1"/>
    </xf>
    <xf numFmtId="0" fontId="8" fillId="4" borderId="2" applyAlignment="1" pivotButton="0" quotePrefix="0" xfId="0">
      <alignment vertical="top" wrapText="1"/>
    </xf>
    <xf numFmtId="170" fontId="9" fillId="4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vertical="top" wrapText="1"/>
    </xf>
    <xf numFmtId="0" fontId="9" fillId="2" borderId="2" applyAlignment="1" pivotButton="0" quotePrefix="0" xfId="0">
      <alignment horizontal="center" vertical="top" wrapText="1"/>
    </xf>
    <xf numFmtId="171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167" fontId="9" fillId="2" borderId="2" applyAlignment="1" pivotButton="0" quotePrefix="0" xfId="0">
      <alignment horizontal="center" vertical="top" wrapText="1"/>
    </xf>
    <xf numFmtId="167" fontId="8" fillId="0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vertical="top" wrapText="1"/>
    </xf>
    <xf numFmtId="172" fontId="9" fillId="2" borderId="2" applyAlignment="1" pivotButton="0" quotePrefix="0" xfId="0">
      <alignment horizontal="center" vertical="top" wrapText="1"/>
    </xf>
    <xf numFmtId="168" fontId="9" fillId="2" borderId="2" applyAlignment="1" pivotButton="0" quotePrefix="0" xfId="0">
      <alignment horizontal="center" vertical="top" wrapText="1"/>
    </xf>
    <xf numFmtId="168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9" fontId="9" fillId="2" borderId="2" applyAlignment="1" pivotButton="0" quotePrefix="0" xfId="0">
      <alignment horizontal="center" vertical="top" wrapText="1"/>
    </xf>
    <xf numFmtId="169" fontId="8" fillId="0" borderId="2" applyAlignment="1" pivotButton="0" quotePrefix="0" xfId="0">
      <alignment horizontal="center" vertical="top" wrapText="1"/>
    </xf>
    <xf numFmtId="166" fontId="8" fillId="0" borderId="2" applyAlignment="1" pivotButton="0" quotePrefix="0" xfId="0">
      <alignment horizontal="center" vertical="top" wrapText="1"/>
    </xf>
    <xf numFmtId="170" fontId="8" fillId="4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E5F4E4"/>
        </patternFill>
      </fill>
    </dxf>
    <dxf>
      <fill>
        <patternFill patternType="solid">
          <fgColor rgb="00F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12 · MATERIAL PRÁCTICO</t>
        </is>
      </c>
      <c r="B1" s="2" t="n"/>
    </row>
    <row r="2" ht="24" customHeight="1">
      <c r="A2" s="3" t="inlineStr">
        <is>
          <t>Cuadro de mando mensual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Datos</t>
        </is>
      </c>
    </row>
    <row r="7" ht="45" customHeight="1">
      <c r="B7" s="6" t="inlineStr">
        <is>
          <t>Escribe el primer mes en la celda amarilla clara y, cada mes, los datos de esa columna. Saca los datos de tus herramientas, no los teclees de memoria: la web, el CRM, la plataforma de email y la de atención al cliente.</t>
        </is>
      </c>
    </row>
    <row r="8" ht="15" customHeight="1">
      <c r="B8" s="6" t="inlineStr">
        <is>
          <t>No hace falta rellenarlo todo. Empieza por los datos de tus tres o cuatro métricas elegidas.</t>
        </is>
      </c>
    </row>
    <row r="10">
      <c r="A10" s="5" t="inlineStr">
        <is>
          <t>2. Métricas</t>
        </is>
      </c>
    </row>
    <row r="11" ht="15" customHeight="1">
      <c r="B11" s="6" t="inlineStr">
        <is>
          <t>La hoja «Métricas» calcula las diez métricas del libro para cada mes, siempre con la misma fórmula.</t>
        </is>
      </c>
    </row>
    <row r="13">
      <c r="A13" s="5" t="inlineStr">
        <is>
          <t>3. Cuadro de mando</t>
        </is>
      </c>
    </row>
    <row r="14" ht="30" customHeight="1">
      <c r="B14" s="6" t="inlineStr">
        <is>
          <t>Elige el número del mes que vas a revisar, escribe el objetivo de cada métrica y la hoja te muestra el dato del mes, el del mes anterior, la tendencia y si cumples el objetivo.</t>
        </is>
      </c>
    </row>
    <row r="15" ht="30" customHeight="1">
      <c r="B15" s="6" t="inlineStr">
        <is>
          <t>La columna más importante es la última: cada métrica que se desvía de su objetivo debe salir de la reunión mensual con una acción concreta, un responsable y una fecha.</t>
        </is>
      </c>
    </row>
    <row r="16" ht="30" customHeight="1">
      <c r="B16" s="6" t="inlineStr">
        <is>
          <t>Vigila la relación entre el valor de vida del cliente y su coste de adquisición: si se acercan, estás pagando demasiado por cada cliente.</t>
        </is>
      </c>
    </row>
    <row r="18">
      <c r="A18" s="5" t="inlineStr">
        <is>
          <t>Orden del día de la reunión mensual de una hora</t>
        </is>
      </c>
    </row>
    <row r="19" ht="15" customHeight="1">
      <c r="B19" s="6" t="inlineStr">
        <is>
          <t>Diez minutos: repaso del cuadro de mando y de las acciones del mes anterior.</t>
        </is>
      </c>
    </row>
    <row r="20" ht="15" customHeight="1">
      <c r="B20" s="6" t="inlineStr">
        <is>
          <t>Veinte minutos: análisis de las dos o tres desviaciones más importantes y de sus causas.</t>
        </is>
      </c>
    </row>
    <row r="21" ht="15" customHeight="1">
      <c r="B21" s="6" t="inlineStr">
        <is>
          <t>Veinte minutos: decisiones: qué ajustamos, qué probamos con una prueba A/B, qué dejamos de hacer.</t>
        </is>
      </c>
    </row>
    <row r="22" ht="15" customHeight="1">
      <c r="B22" s="6" t="inlineStr">
        <is>
          <t>Diez minutos: reparto de acciones con responsable y fecha, y un logro que celebrar.</t>
        </is>
      </c>
    </row>
    <row r="24">
      <c r="A24" s="7" t="n"/>
      <c r="B24" s="8" t="inlineStr">
        <is>
          <t>Las celdas en amarillo claro son para rellenar. Las demás se calculan solas.</t>
        </is>
      </c>
    </row>
    <row r="26" ht="26" customHeight="1">
      <c r="B26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CAPÍTULO 12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Datos de cada mes</t>
        </is>
      </c>
    </row>
    <row r="3">
      <c r="A3" s="4" t="inlineStr">
        <is>
          <t>Saca los datos de tus herramientas y escríbelos en su mes</t>
        </is>
      </c>
    </row>
    <row r="4">
      <c r="A4" s="10" t="inlineStr">
        <is>
          <t>Primer mes (escribe una fecha de ese mes)</t>
        </is>
      </c>
      <c r="B4" s="11" t="n"/>
    </row>
    <row r="5" ht="30" customHeight="1">
      <c r="A5" s="12" t="inlineStr">
        <is>
          <t>Dato</t>
        </is>
      </c>
      <c r="B5" s="13">
        <f>IF($B$4="","Mes 1",$B$4)</f>
        <v/>
      </c>
      <c r="C5" s="13">
        <f>IF($B$4="","Mes 2",EDATE($B$4,1))</f>
        <v/>
      </c>
      <c r="D5" s="13">
        <f>IF($B$4="","Mes 3",EDATE($B$4,2))</f>
        <v/>
      </c>
      <c r="E5" s="13">
        <f>IF($B$4="","Mes 4",EDATE($B$4,3))</f>
        <v/>
      </c>
      <c r="F5" s="13">
        <f>IF($B$4="","Mes 5",EDATE($B$4,4))</f>
        <v/>
      </c>
      <c r="G5" s="13">
        <f>IF($B$4="","Mes 6",EDATE($B$4,5))</f>
        <v/>
      </c>
      <c r="H5" s="13">
        <f>IF($B$4="","Mes 7",EDATE($B$4,6))</f>
        <v/>
      </c>
      <c r="I5" s="13">
        <f>IF($B$4="","Mes 8",EDATE($B$4,7))</f>
        <v/>
      </c>
      <c r="J5" s="13">
        <f>IF($B$4="","Mes 9",EDATE($B$4,8))</f>
        <v/>
      </c>
      <c r="K5" s="13">
        <f>IF($B$4="","Mes 10",EDATE($B$4,9))</f>
        <v/>
      </c>
      <c r="L5" s="13">
        <f>IF($B$4="","Mes 11",EDATE($B$4,10))</f>
        <v/>
      </c>
      <c r="M5" s="13">
        <f>IF($B$4="","Mes 12",EDATE($B$4,11))</f>
        <v/>
      </c>
    </row>
    <row r="6">
      <c r="A6" s="10" t="inlineStr">
        <is>
          <t>Visitas a la web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0" t="inlineStr">
        <is>
          <t>Contactos nuevos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0" t="inlineStr">
        <is>
          <t>Inversión en captación (€)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0" t="inlineStr">
        <is>
          <t>Correos entregados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0" t="inlineStr">
        <is>
          <t>Clics en los correos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>
      <c r="A11" s="10" t="inlineStr">
        <is>
          <t>Presupuestos enviados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0" t="inlineStr">
        <is>
          <t>Ventas ganadas de esos presupuestos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>
      <c r="A13" s="10" t="inlineStr">
        <is>
          <t>Ingresos (€)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0" t="inlineStr">
        <is>
          <t>Número de ventas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0" t="inlineStr">
        <is>
          <t>Inversión total en marketing y ventas (€)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0" t="inlineStr">
        <is>
          <t>Clientes nuevos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0" t="inlineStr">
        <is>
          <t>Margen medio anual por cliente (€)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0" t="inlineStr">
        <is>
          <t>Años medios de relación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0" t="inlineStr">
        <is>
          <t>Clientes al inicio del mes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0" t="inlineStr">
        <is>
          <t>Clientes perdidos en el mes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0" t="inlineStr">
        <is>
          <t>Respuestas a la encuesta NPS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0" t="inlineStr">
        <is>
          <t>Promotores (9 o 10)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0" t="inlineStr">
        <is>
          <t>Detractores (0 a 6)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0" t="inlineStr">
        <is>
          <t>Tiempo medio de primera respuesta (horas)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CAPÍTULO 12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Las diez métricas, mes a mes</t>
        </is>
      </c>
    </row>
    <row r="3">
      <c r="A3" s="4" t="inlineStr">
        <is>
          <t>Se calculan solas a partir de la hoja «Datos»</t>
        </is>
      </c>
    </row>
    <row r="5" ht="30" customHeight="1">
      <c r="A5" s="12" t="inlineStr">
        <is>
          <t>Métrica</t>
        </is>
      </c>
      <c r="B5" s="13">
        <f>Datos!B5</f>
        <v/>
      </c>
      <c r="C5" s="13">
        <f>Datos!C5</f>
        <v/>
      </c>
      <c r="D5" s="13">
        <f>Datos!D5</f>
        <v/>
      </c>
      <c r="E5" s="13">
        <f>Datos!E5</f>
        <v/>
      </c>
      <c r="F5" s="13">
        <f>Datos!F5</f>
        <v/>
      </c>
      <c r="G5" s="13">
        <f>Datos!G5</f>
        <v/>
      </c>
      <c r="H5" s="13">
        <f>Datos!H5</f>
        <v/>
      </c>
      <c r="I5" s="13">
        <f>Datos!I5</f>
        <v/>
      </c>
      <c r="J5" s="13">
        <f>Datos!J5</f>
        <v/>
      </c>
      <c r="K5" s="13">
        <f>Datos!K5</f>
        <v/>
      </c>
      <c r="L5" s="13">
        <f>Datos!L5</f>
        <v/>
      </c>
      <c r="M5" s="13">
        <f>Datos!M5</f>
        <v/>
      </c>
    </row>
    <row r="6">
      <c r="A6" s="10" t="inlineStr">
        <is>
          <t>Tasa de conversión de la web</t>
        </is>
      </c>
      <c r="B6" s="17">
        <f>IF(OR(Datos!B7="",Datos!B6="",N(Datos!B6)=0),"",Datos!B7/Datos!B6)</f>
        <v/>
      </c>
      <c r="C6" s="17">
        <f>IF(OR(Datos!C7="",Datos!C6="",N(Datos!C6)=0),"",Datos!C7/Datos!C6)</f>
        <v/>
      </c>
      <c r="D6" s="17">
        <f>IF(OR(Datos!D7="",Datos!D6="",N(Datos!D6)=0),"",Datos!D7/Datos!D6)</f>
        <v/>
      </c>
      <c r="E6" s="17">
        <f>IF(OR(Datos!E7="",Datos!E6="",N(Datos!E6)=0),"",Datos!E7/Datos!E6)</f>
        <v/>
      </c>
      <c r="F6" s="17">
        <f>IF(OR(Datos!F7="",Datos!F6="",N(Datos!F6)=0),"",Datos!F7/Datos!F6)</f>
        <v/>
      </c>
      <c r="G6" s="17">
        <f>IF(OR(Datos!G7="",Datos!G6="",N(Datos!G6)=0),"",Datos!G7/Datos!G6)</f>
        <v/>
      </c>
      <c r="H6" s="17">
        <f>IF(OR(Datos!H7="",Datos!H6="",N(Datos!H6)=0),"",Datos!H7/Datos!H6)</f>
        <v/>
      </c>
      <c r="I6" s="17">
        <f>IF(OR(Datos!I7="",Datos!I6="",N(Datos!I6)=0),"",Datos!I7/Datos!I6)</f>
        <v/>
      </c>
      <c r="J6" s="17">
        <f>IF(OR(Datos!J7="",Datos!J6="",N(Datos!J6)=0),"",Datos!J7/Datos!J6)</f>
        <v/>
      </c>
      <c r="K6" s="17">
        <f>IF(OR(Datos!K7="",Datos!K6="",N(Datos!K6)=0),"",Datos!K7/Datos!K6)</f>
        <v/>
      </c>
      <c r="L6" s="17">
        <f>IF(OR(Datos!L7="",Datos!L6="",N(Datos!L6)=0),"",Datos!L7/Datos!L6)</f>
        <v/>
      </c>
      <c r="M6" s="17">
        <f>IF(OR(Datos!M7="",Datos!M6="",N(Datos!M6)=0),"",Datos!M7/Datos!M6)</f>
        <v/>
      </c>
    </row>
    <row r="7">
      <c r="A7" s="10" t="inlineStr">
        <is>
          <t>Coste por contacto</t>
        </is>
      </c>
      <c r="B7" s="18">
        <f>IF(OR(Datos!B8="",Datos!B7="",N(Datos!B7)=0),"",Datos!B8/Datos!B7)</f>
        <v/>
      </c>
      <c r="C7" s="18">
        <f>IF(OR(Datos!C8="",Datos!C7="",N(Datos!C7)=0),"",Datos!C8/Datos!C7)</f>
        <v/>
      </c>
      <c r="D7" s="18">
        <f>IF(OR(Datos!D8="",Datos!D7="",N(Datos!D7)=0),"",Datos!D8/Datos!D7)</f>
        <v/>
      </c>
      <c r="E7" s="18">
        <f>IF(OR(Datos!E8="",Datos!E7="",N(Datos!E7)=0),"",Datos!E8/Datos!E7)</f>
        <v/>
      </c>
      <c r="F7" s="18">
        <f>IF(OR(Datos!F8="",Datos!F7="",N(Datos!F7)=0),"",Datos!F8/Datos!F7)</f>
        <v/>
      </c>
      <c r="G7" s="18">
        <f>IF(OR(Datos!G8="",Datos!G7="",N(Datos!G7)=0),"",Datos!G8/Datos!G7)</f>
        <v/>
      </c>
      <c r="H7" s="18">
        <f>IF(OR(Datos!H8="",Datos!H7="",N(Datos!H7)=0),"",Datos!H8/Datos!H7)</f>
        <v/>
      </c>
      <c r="I7" s="18">
        <f>IF(OR(Datos!I8="",Datos!I7="",N(Datos!I7)=0),"",Datos!I8/Datos!I7)</f>
        <v/>
      </c>
      <c r="J7" s="18">
        <f>IF(OR(Datos!J8="",Datos!J7="",N(Datos!J7)=0),"",Datos!J8/Datos!J7)</f>
        <v/>
      </c>
      <c r="K7" s="18">
        <f>IF(OR(Datos!K8="",Datos!K7="",N(Datos!K7)=0),"",Datos!K8/Datos!K7)</f>
        <v/>
      </c>
      <c r="L7" s="18">
        <f>IF(OR(Datos!L8="",Datos!L7="",N(Datos!L7)=0),"",Datos!L8/Datos!L7)</f>
        <v/>
      </c>
      <c r="M7" s="18">
        <f>IF(OR(Datos!M8="",Datos!M7="",N(Datos!M7)=0),"",Datos!M8/Datos!M7)</f>
        <v/>
      </c>
    </row>
    <row r="8">
      <c r="A8" s="10" t="inlineStr">
        <is>
          <t>Tasa de clics del email</t>
        </is>
      </c>
      <c r="B8" s="17">
        <f>IF(OR(Datos!B10="",Datos!B9="",N(Datos!B9)=0),"",Datos!B10/Datos!B9)</f>
        <v/>
      </c>
      <c r="C8" s="17">
        <f>IF(OR(Datos!C10="",Datos!C9="",N(Datos!C9)=0),"",Datos!C10/Datos!C9)</f>
        <v/>
      </c>
      <c r="D8" s="17">
        <f>IF(OR(Datos!D10="",Datos!D9="",N(Datos!D9)=0),"",Datos!D10/Datos!D9)</f>
        <v/>
      </c>
      <c r="E8" s="17">
        <f>IF(OR(Datos!E10="",Datos!E9="",N(Datos!E9)=0),"",Datos!E10/Datos!E9)</f>
        <v/>
      </c>
      <c r="F8" s="17">
        <f>IF(OR(Datos!F10="",Datos!F9="",N(Datos!F9)=0),"",Datos!F10/Datos!F9)</f>
        <v/>
      </c>
      <c r="G8" s="17">
        <f>IF(OR(Datos!G10="",Datos!G9="",N(Datos!G9)=0),"",Datos!G10/Datos!G9)</f>
        <v/>
      </c>
      <c r="H8" s="17">
        <f>IF(OR(Datos!H10="",Datos!H9="",N(Datos!H9)=0),"",Datos!H10/Datos!H9)</f>
        <v/>
      </c>
      <c r="I8" s="17">
        <f>IF(OR(Datos!I10="",Datos!I9="",N(Datos!I9)=0),"",Datos!I10/Datos!I9)</f>
        <v/>
      </c>
      <c r="J8" s="17">
        <f>IF(OR(Datos!J10="",Datos!J9="",N(Datos!J9)=0),"",Datos!J10/Datos!J9)</f>
        <v/>
      </c>
      <c r="K8" s="17">
        <f>IF(OR(Datos!K10="",Datos!K9="",N(Datos!K9)=0),"",Datos!K10/Datos!K9)</f>
        <v/>
      </c>
      <c r="L8" s="17">
        <f>IF(OR(Datos!L10="",Datos!L9="",N(Datos!L9)=0),"",Datos!L10/Datos!L9)</f>
        <v/>
      </c>
      <c r="M8" s="17">
        <f>IF(OR(Datos!M10="",Datos!M9="",N(Datos!M9)=0),"",Datos!M10/Datos!M9)</f>
        <v/>
      </c>
    </row>
    <row r="9">
      <c r="A9" s="10" t="inlineStr">
        <is>
          <t>Tasa de cierre</t>
        </is>
      </c>
      <c r="B9" s="17">
        <f>IF(OR(Datos!B12="",Datos!B11="",N(Datos!B11)=0),"",Datos!B12/Datos!B11)</f>
        <v/>
      </c>
      <c r="C9" s="17">
        <f>IF(OR(Datos!C12="",Datos!C11="",N(Datos!C11)=0),"",Datos!C12/Datos!C11)</f>
        <v/>
      </c>
      <c r="D9" s="17">
        <f>IF(OR(Datos!D12="",Datos!D11="",N(Datos!D11)=0),"",Datos!D12/Datos!D11)</f>
        <v/>
      </c>
      <c r="E9" s="17">
        <f>IF(OR(Datos!E12="",Datos!E11="",N(Datos!E11)=0),"",Datos!E12/Datos!E11)</f>
        <v/>
      </c>
      <c r="F9" s="17">
        <f>IF(OR(Datos!F12="",Datos!F11="",N(Datos!F11)=0),"",Datos!F12/Datos!F11)</f>
        <v/>
      </c>
      <c r="G9" s="17">
        <f>IF(OR(Datos!G12="",Datos!G11="",N(Datos!G11)=0),"",Datos!G12/Datos!G11)</f>
        <v/>
      </c>
      <c r="H9" s="17">
        <f>IF(OR(Datos!H12="",Datos!H11="",N(Datos!H11)=0),"",Datos!H12/Datos!H11)</f>
        <v/>
      </c>
      <c r="I9" s="17">
        <f>IF(OR(Datos!I12="",Datos!I11="",N(Datos!I11)=0),"",Datos!I12/Datos!I11)</f>
        <v/>
      </c>
      <c r="J9" s="17">
        <f>IF(OR(Datos!J12="",Datos!J11="",N(Datos!J11)=0),"",Datos!J12/Datos!J11)</f>
        <v/>
      </c>
      <c r="K9" s="17">
        <f>IF(OR(Datos!K12="",Datos!K11="",N(Datos!K11)=0),"",Datos!K12/Datos!K11)</f>
        <v/>
      </c>
      <c r="L9" s="17">
        <f>IF(OR(Datos!L12="",Datos!L11="",N(Datos!L11)=0),"",Datos!L12/Datos!L11)</f>
        <v/>
      </c>
      <c r="M9" s="17">
        <f>IF(OR(Datos!M12="",Datos!M11="",N(Datos!M11)=0),"",Datos!M12/Datos!M11)</f>
        <v/>
      </c>
    </row>
    <row r="10">
      <c r="A10" s="10" t="inlineStr">
        <is>
          <t>Valor medio por venta</t>
        </is>
      </c>
      <c r="B10" s="18">
        <f>IF(OR(Datos!B13="",Datos!B14="",N(Datos!B14)=0),"",Datos!B13/Datos!B14)</f>
        <v/>
      </c>
      <c r="C10" s="18">
        <f>IF(OR(Datos!C13="",Datos!C14="",N(Datos!C14)=0),"",Datos!C13/Datos!C14)</f>
        <v/>
      </c>
      <c r="D10" s="18">
        <f>IF(OR(Datos!D13="",Datos!D14="",N(Datos!D14)=0),"",Datos!D13/Datos!D14)</f>
        <v/>
      </c>
      <c r="E10" s="18">
        <f>IF(OR(Datos!E13="",Datos!E14="",N(Datos!E14)=0),"",Datos!E13/Datos!E14)</f>
        <v/>
      </c>
      <c r="F10" s="18">
        <f>IF(OR(Datos!F13="",Datos!F14="",N(Datos!F14)=0),"",Datos!F13/Datos!F14)</f>
        <v/>
      </c>
      <c r="G10" s="18">
        <f>IF(OR(Datos!G13="",Datos!G14="",N(Datos!G14)=0),"",Datos!G13/Datos!G14)</f>
        <v/>
      </c>
      <c r="H10" s="18">
        <f>IF(OR(Datos!H13="",Datos!H14="",N(Datos!H14)=0),"",Datos!H13/Datos!H14)</f>
        <v/>
      </c>
      <c r="I10" s="18">
        <f>IF(OR(Datos!I13="",Datos!I14="",N(Datos!I14)=0),"",Datos!I13/Datos!I14)</f>
        <v/>
      </c>
      <c r="J10" s="18">
        <f>IF(OR(Datos!J13="",Datos!J14="",N(Datos!J14)=0),"",Datos!J13/Datos!J14)</f>
        <v/>
      </c>
      <c r="K10" s="18">
        <f>IF(OR(Datos!K13="",Datos!K14="",N(Datos!K14)=0),"",Datos!K13/Datos!K14)</f>
        <v/>
      </c>
      <c r="L10" s="18">
        <f>IF(OR(Datos!L13="",Datos!L14="",N(Datos!L14)=0),"",Datos!L13/Datos!L14)</f>
        <v/>
      </c>
      <c r="M10" s="18">
        <f>IF(OR(Datos!M13="",Datos!M14="",N(Datos!M14)=0),"",Datos!M13/Datos!M14)</f>
        <v/>
      </c>
    </row>
    <row r="11">
      <c r="A11" s="10" t="inlineStr">
        <is>
          <t>Coste de adquisición de cliente</t>
        </is>
      </c>
      <c r="B11" s="18">
        <f>IF(OR(Datos!B15="",Datos!B16="",N(Datos!B16)=0),"",Datos!B15/Datos!B16)</f>
        <v/>
      </c>
      <c r="C11" s="18">
        <f>IF(OR(Datos!C15="",Datos!C16="",N(Datos!C16)=0),"",Datos!C15/Datos!C16)</f>
        <v/>
      </c>
      <c r="D11" s="18">
        <f>IF(OR(Datos!D15="",Datos!D16="",N(Datos!D16)=0),"",Datos!D15/Datos!D16)</f>
        <v/>
      </c>
      <c r="E11" s="18">
        <f>IF(OR(Datos!E15="",Datos!E16="",N(Datos!E16)=0),"",Datos!E15/Datos!E16)</f>
        <v/>
      </c>
      <c r="F11" s="18">
        <f>IF(OR(Datos!F15="",Datos!F16="",N(Datos!F16)=0),"",Datos!F15/Datos!F16)</f>
        <v/>
      </c>
      <c r="G11" s="18">
        <f>IF(OR(Datos!G15="",Datos!G16="",N(Datos!G16)=0),"",Datos!G15/Datos!G16)</f>
        <v/>
      </c>
      <c r="H11" s="18">
        <f>IF(OR(Datos!H15="",Datos!H16="",N(Datos!H16)=0),"",Datos!H15/Datos!H16)</f>
        <v/>
      </c>
      <c r="I11" s="18">
        <f>IF(OR(Datos!I15="",Datos!I16="",N(Datos!I16)=0),"",Datos!I15/Datos!I16)</f>
        <v/>
      </c>
      <c r="J11" s="18">
        <f>IF(OR(Datos!J15="",Datos!J16="",N(Datos!J16)=0),"",Datos!J15/Datos!J16)</f>
        <v/>
      </c>
      <c r="K11" s="18">
        <f>IF(OR(Datos!K15="",Datos!K16="",N(Datos!K16)=0),"",Datos!K15/Datos!K16)</f>
        <v/>
      </c>
      <c r="L11" s="18">
        <f>IF(OR(Datos!L15="",Datos!L16="",N(Datos!L16)=0),"",Datos!L15/Datos!L16)</f>
        <v/>
      </c>
      <c r="M11" s="18">
        <f>IF(OR(Datos!M15="",Datos!M16="",N(Datos!M16)=0),"",Datos!M15/Datos!M16)</f>
        <v/>
      </c>
    </row>
    <row r="12">
      <c r="A12" s="10" t="inlineStr">
        <is>
          <t>Valor de vida del cliente</t>
        </is>
      </c>
      <c r="B12" s="19">
        <f>IF(OR(Datos!B17="",Datos!B18=""),"",Datos!B17*Datos!B18)</f>
        <v/>
      </c>
      <c r="C12" s="19">
        <f>IF(OR(Datos!C17="",Datos!C18=""),"",Datos!C17*Datos!C18)</f>
        <v/>
      </c>
      <c r="D12" s="19">
        <f>IF(OR(Datos!D17="",Datos!D18=""),"",Datos!D17*Datos!D18)</f>
        <v/>
      </c>
      <c r="E12" s="19">
        <f>IF(OR(Datos!E17="",Datos!E18=""),"",Datos!E17*Datos!E18)</f>
        <v/>
      </c>
      <c r="F12" s="19">
        <f>IF(OR(Datos!F17="",Datos!F18=""),"",Datos!F17*Datos!F18)</f>
        <v/>
      </c>
      <c r="G12" s="19">
        <f>IF(OR(Datos!G17="",Datos!G18=""),"",Datos!G17*Datos!G18)</f>
        <v/>
      </c>
      <c r="H12" s="19">
        <f>IF(OR(Datos!H17="",Datos!H18=""),"",Datos!H17*Datos!H18)</f>
        <v/>
      </c>
      <c r="I12" s="19">
        <f>IF(OR(Datos!I17="",Datos!I18=""),"",Datos!I17*Datos!I18)</f>
        <v/>
      </c>
      <c r="J12" s="19">
        <f>IF(OR(Datos!J17="",Datos!J18=""),"",Datos!J17*Datos!J18)</f>
        <v/>
      </c>
      <c r="K12" s="19">
        <f>IF(OR(Datos!K17="",Datos!K18=""),"",Datos!K17*Datos!K18)</f>
        <v/>
      </c>
      <c r="L12" s="19">
        <f>IF(OR(Datos!L17="",Datos!L18=""),"",Datos!L17*Datos!L18)</f>
        <v/>
      </c>
      <c r="M12" s="19">
        <f>IF(OR(Datos!M17="",Datos!M18=""),"",Datos!M17*Datos!M18)</f>
        <v/>
      </c>
    </row>
    <row r="13">
      <c r="A13" s="10" t="inlineStr">
        <is>
          <t>Tasa de abandono</t>
        </is>
      </c>
      <c r="B13" s="17">
        <f>IF(OR(Datos!B20="",Datos!B19="",N(Datos!B19)=0),"",Datos!B20/Datos!B19)</f>
        <v/>
      </c>
      <c r="C13" s="17">
        <f>IF(OR(Datos!C20="",Datos!C19="",N(Datos!C19)=0),"",Datos!C20/Datos!C19)</f>
        <v/>
      </c>
      <c r="D13" s="17">
        <f>IF(OR(Datos!D20="",Datos!D19="",N(Datos!D19)=0),"",Datos!D20/Datos!D19)</f>
        <v/>
      </c>
      <c r="E13" s="17">
        <f>IF(OR(Datos!E20="",Datos!E19="",N(Datos!E19)=0),"",Datos!E20/Datos!E19)</f>
        <v/>
      </c>
      <c r="F13" s="17">
        <f>IF(OR(Datos!F20="",Datos!F19="",N(Datos!F19)=0),"",Datos!F20/Datos!F19)</f>
        <v/>
      </c>
      <c r="G13" s="17">
        <f>IF(OR(Datos!G20="",Datos!G19="",N(Datos!G19)=0),"",Datos!G20/Datos!G19)</f>
        <v/>
      </c>
      <c r="H13" s="17">
        <f>IF(OR(Datos!H20="",Datos!H19="",N(Datos!H19)=0),"",Datos!H20/Datos!H19)</f>
        <v/>
      </c>
      <c r="I13" s="17">
        <f>IF(OR(Datos!I20="",Datos!I19="",N(Datos!I19)=0),"",Datos!I20/Datos!I19)</f>
        <v/>
      </c>
      <c r="J13" s="17">
        <f>IF(OR(Datos!J20="",Datos!J19="",N(Datos!J19)=0),"",Datos!J20/Datos!J19)</f>
        <v/>
      </c>
      <c r="K13" s="17">
        <f>IF(OR(Datos!K20="",Datos!K19="",N(Datos!K19)=0),"",Datos!K20/Datos!K19)</f>
        <v/>
      </c>
      <c r="L13" s="17">
        <f>IF(OR(Datos!L20="",Datos!L19="",N(Datos!L19)=0),"",Datos!L20/Datos!L19)</f>
        <v/>
      </c>
      <c r="M13" s="17">
        <f>IF(OR(Datos!M20="",Datos!M19="",N(Datos!M19)=0),"",Datos!M20/Datos!M19)</f>
        <v/>
      </c>
    </row>
    <row r="14">
      <c r="A14" s="10" t="inlineStr">
        <is>
          <t>NPS</t>
        </is>
      </c>
      <c r="B14" s="20">
        <f>IF(OR(Datos!B22="",Datos!B23="",Datos!B21="",N(Datos!B21)=0),"",ROUND((Datos!B22-Datos!B23)/Datos!B21*100,0))</f>
        <v/>
      </c>
      <c r="C14" s="20">
        <f>IF(OR(Datos!C22="",Datos!C23="",Datos!C21="",N(Datos!C21)=0),"",ROUND((Datos!C22-Datos!C23)/Datos!C21*100,0))</f>
        <v/>
      </c>
      <c r="D14" s="20">
        <f>IF(OR(Datos!D22="",Datos!D23="",Datos!D21="",N(Datos!D21)=0),"",ROUND((Datos!D22-Datos!D23)/Datos!D21*100,0))</f>
        <v/>
      </c>
      <c r="E14" s="20">
        <f>IF(OR(Datos!E22="",Datos!E23="",Datos!E21="",N(Datos!E21)=0),"",ROUND((Datos!E22-Datos!E23)/Datos!E21*100,0))</f>
        <v/>
      </c>
      <c r="F14" s="20">
        <f>IF(OR(Datos!F22="",Datos!F23="",Datos!F21="",N(Datos!F21)=0),"",ROUND((Datos!F22-Datos!F23)/Datos!F21*100,0))</f>
        <v/>
      </c>
      <c r="G14" s="20">
        <f>IF(OR(Datos!G22="",Datos!G23="",Datos!G21="",N(Datos!G21)=0),"",ROUND((Datos!G22-Datos!G23)/Datos!G21*100,0))</f>
        <v/>
      </c>
      <c r="H14" s="20">
        <f>IF(OR(Datos!H22="",Datos!H23="",Datos!H21="",N(Datos!H21)=0),"",ROUND((Datos!H22-Datos!H23)/Datos!H21*100,0))</f>
        <v/>
      </c>
      <c r="I14" s="20">
        <f>IF(OR(Datos!I22="",Datos!I23="",Datos!I21="",N(Datos!I21)=0),"",ROUND((Datos!I22-Datos!I23)/Datos!I21*100,0))</f>
        <v/>
      </c>
      <c r="J14" s="20">
        <f>IF(OR(Datos!J22="",Datos!J23="",Datos!J21="",N(Datos!J21)=0),"",ROUND((Datos!J22-Datos!J23)/Datos!J21*100,0))</f>
        <v/>
      </c>
      <c r="K14" s="20">
        <f>IF(OR(Datos!K22="",Datos!K23="",Datos!K21="",N(Datos!K21)=0),"",ROUND((Datos!K22-Datos!K23)/Datos!K21*100,0))</f>
        <v/>
      </c>
      <c r="L14" s="20">
        <f>IF(OR(Datos!L22="",Datos!L23="",Datos!L21="",N(Datos!L21)=0),"",ROUND((Datos!L22-Datos!L23)/Datos!L21*100,0))</f>
        <v/>
      </c>
      <c r="M14" s="20">
        <f>IF(OR(Datos!M22="",Datos!M23="",Datos!M21="",N(Datos!M21)=0),"",ROUND((Datos!M22-Datos!M23)/Datos!M21*100,0))</f>
        <v/>
      </c>
    </row>
    <row r="15">
      <c r="A15" s="10" t="inlineStr">
        <is>
          <t>Tiempo de primera respuesta (horas)</t>
        </is>
      </c>
      <c r="B15" s="21">
        <f>IF(OR(Datos!B24=""),"",Datos!B24)</f>
        <v/>
      </c>
      <c r="C15" s="21">
        <f>IF(OR(Datos!C24=""),"",Datos!C24)</f>
        <v/>
      </c>
      <c r="D15" s="21">
        <f>IF(OR(Datos!D24=""),"",Datos!D24)</f>
        <v/>
      </c>
      <c r="E15" s="21">
        <f>IF(OR(Datos!E24=""),"",Datos!E24)</f>
        <v/>
      </c>
      <c r="F15" s="21">
        <f>IF(OR(Datos!F24=""),"",Datos!F24)</f>
        <v/>
      </c>
      <c r="G15" s="21">
        <f>IF(OR(Datos!G24=""),"",Datos!G24)</f>
        <v/>
      </c>
      <c r="H15" s="21">
        <f>IF(OR(Datos!H24=""),"",Datos!H24)</f>
        <v/>
      </c>
      <c r="I15" s="21">
        <f>IF(OR(Datos!I24=""),"",Datos!I24)</f>
        <v/>
      </c>
      <c r="J15" s="21">
        <f>IF(OR(Datos!J24=""),"",Datos!J24)</f>
        <v/>
      </c>
      <c r="K15" s="21">
        <f>IF(OR(Datos!K24=""),"",Datos!K24)</f>
        <v/>
      </c>
      <c r="L15" s="21">
        <f>IF(OR(Datos!L24=""),"",Datos!L24)</f>
        <v/>
      </c>
      <c r="M15" s="21">
        <f>IF(OR(Datos!M24=""),"",Datos!M24)</f>
        <v/>
      </c>
    </row>
    <row r="16">
      <c r="A16" s="22" t="inlineStr">
        <is>
          <t>Valor de vida ÷ coste de adquisición</t>
        </is>
      </c>
      <c r="B16" s="23">
        <f>IF(OR(B12="",N(B11)=0),"",B12/B11)</f>
        <v/>
      </c>
      <c r="C16" s="23">
        <f>IF(OR(C12="",N(C11)=0),"",C12/C11)</f>
        <v/>
      </c>
      <c r="D16" s="23">
        <f>IF(OR(D12="",N(D11)=0),"",D12/D11)</f>
        <v/>
      </c>
      <c r="E16" s="23">
        <f>IF(OR(E12="",N(E11)=0),"",E12/E11)</f>
        <v/>
      </c>
      <c r="F16" s="23">
        <f>IF(OR(F12="",N(F11)=0),"",F12/F11)</f>
        <v/>
      </c>
      <c r="G16" s="23">
        <f>IF(OR(G12="",N(G11)=0),"",G12/G11)</f>
        <v/>
      </c>
      <c r="H16" s="23">
        <f>IF(OR(H12="",N(H11)=0),"",H12/H11)</f>
        <v/>
      </c>
      <c r="I16" s="23">
        <f>IF(OR(I12="",N(I11)=0),"",I12/I11)</f>
        <v/>
      </c>
      <c r="J16" s="23">
        <f>IF(OR(J12="",N(J11)=0),"",J12/J11)</f>
        <v/>
      </c>
      <c r="K16" s="23">
        <f>IF(OR(K12="",N(K11)=0),"",K12/K11)</f>
        <v/>
      </c>
      <c r="L16" s="23">
        <f>IF(OR(L12="",N(L11)=0),"",L12/L11)</f>
        <v/>
      </c>
      <c r="M16" s="23">
        <f>IF(OR(M12="",N(M11)=0),"",M12/M11)</f>
        <v/>
      </c>
    </row>
    <row r="17">
      <c r="A17" s="24" t="inlineStr">
        <is>
          <t>Si esta relación se acerca a 1, estás pagando demasiado por cada cliente.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3" customWidth="1" min="4" max="4"/>
    <col width="13" customWidth="1" min="5" max="5"/>
    <col width="11" customWidth="1" min="6" max="6"/>
    <col width="16" customWidth="1" min="7" max="7"/>
    <col width="38" customWidth="1" min="8" max="8"/>
    <col width="16" customWidth="1" min="9" max="9"/>
    <col width="12" customWidth="1" min="10" max="10"/>
  </cols>
  <sheetData>
    <row r="1">
      <c r="A1" s="1" t="inlineStr">
        <is>
          <t>CAPÍTULO 12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Tu cuadro de mando de una página</t>
        </is>
      </c>
    </row>
    <row r="3">
      <c r="A3" s="4" t="inlineStr">
        <is>
          <t>Cada desviación sale de la reunión con una acción, un responsable y una fecha</t>
        </is>
      </c>
    </row>
    <row r="4">
      <c r="A4" s="10" t="inlineStr">
        <is>
          <t>Mes que revisas (número del 1 al 12)</t>
        </is>
      </c>
      <c r="B4" s="25" t="n">
        <v>1</v>
      </c>
      <c r="C4" s="26">
        <f>INDEX(Datos!B5:M5,B4)</f>
        <v/>
      </c>
    </row>
    <row r="6" ht="30" customHeight="1">
      <c r="A6" s="12" t="inlineStr">
        <is>
          <t>Métrica</t>
        </is>
      </c>
      <c r="B6" s="12" t="inlineStr">
        <is>
          <t>Mejor si es</t>
        </is>
      </c>
      <c r="C6" s="12" t="inlineStr">
        <is>
          <t>Objetivo</t>
        </is>
      </c>
      <c r="D6" s="12" t="inlineStr">
        <is>
          <t>Este mes</t>
        </is>
      </c>
      <c r="E6" s="12" t="inlineStr">
        <is>
          <t>Mes anterior</t>
        </is>
      </c>
      <c r="F6" s="12" t="inlineStr">
        <is>
          <t>Tendencia</t>
        </is>
      </c>
      <c r="G6" s="12" t="inlineStr">
        <is>
          <t>Estado</t>
        </is>
      </c>
      <c r="H6" s="12" t="inlineStr">
        <is>
          <t>Acción decidida</t>
        </is>
      </c>
      <c r="I6" s="12" t="inlineStr">
        <is>
          <t>Responsable</t>
        </is>
      </c>
      <c r="J6" s="12" t="inlineStr">
        <is>
          <t>Fecha</t>
        </is>
      </c>
    </row>
    <row r="7" ht="24" customHeight="1">
      <c r="A7" s="10" t="inlineStr">
        <is>
          <t>Tasa de conversión de la web</t>
        </is>
      </c>
      <c r="B7" s="27" t="inlineStr">
        <is>
          <t>Más alto</t>
        </is>
      </c>
      <c r="C7" s="28" t="n"/>
      <c r="D7" s="29">
        <f>INDEX(Métricas!B6:M6,$B$4)</f>
        <v/>
      </c>
      <c r="E7" s="17">
        <f>IF($B$4=1,"",INDEX(Métricas!B6:M6,$B$4-1))</f>
        <v/>
      </c>
      <c r="F7" s="27">
        <f>IF(OR(D7="",E7=""),"",IF(D7&gt;E7,"Sube",IF(D7&lt;E7,"Baja","Igual")))</f>
        <v/>
      </c>
      <c r="G7" s="27">
        <f>IF(OR(C7="",D7=""),"",IF(D7&gt;=C7,"En objetivo","Desviada"))</f>
        <v/>
      </c>
      <c r="H7" s="30" t="n"/>
      <c r="I7" s="30" t="n"/>
      <c r="J7" s="31" t="n"/>
    </row>
    <row r="8" ht="24" customHeight="1">
      <c r="A8" s="10" t="inlineStr">
        <is>
          <t>Coste por contacto</t>
        </is>
      </c>
      <c r="B8" s="27" t="inlineStr">
        <is>
          <t>Más bajo</t>
        </is>
      </c>
      <c r="C8" s="32" t="n"/>
      <c r="D8" s="33">
        <f>INDEX(Métricas!B7:M7,$B$4)</f>
        <v/>
      </c>
      <c r="E8" s="18">
        <f>IF($B$4=1,"",INDEX(Métricas!B7:M7,$B$4-1))</f>
        <v/>
      </c>
      <c r="F8" s="27">
        <f>IF(OR(D8="",E8=""),"",IF(D8&gt;E8,"Sube",IF(D8&lt;E8,"Baja","Igual")))</f>
        <v/>
      </c>
      <c r="G8" s="27">
        <f>IF(OR(C8="",D8=""),"",IF(D8&lt;=C8,"En objetivo","Desviada"))</f>
        <v/>
      </c>
      <c r="H8" s="30" t="n"/>
      <c r="I8" s="30" t="n"/>
      <c r="J8" s="31" t="n"/>
    </row>
    <row r="9" ht="24" customHeight="1">
      <c r="A9" s="10" t="inlineStr">
        <is>
          <t>Tasa de clics del email</t>
        </is>
      </c>
      <c r="B9" s="27" t="inlineStr">
        <is>
          <t>Más alto</t>
        </is>
      </c>
      <c r="C9" s="28" t="n"/>
      <c r="D9" s="29">
        <f>INDEX(Métricas!B8:M8,$B$4)</f>
        <v/>
      </c>
      <c r="E9" s="17">
        <f>IF($B$4=1,"",INDEX(Métricas!B8:M8,$B$4-1))</f>
        <v/>
      </c>
      <c r="F9" s="27">
        <f>IF(OR(D9="",E9=""),"",IF(D9&gt;E9,"Sube",IF(D9&lt;E9,"Baja","Igual")))</f>
        <v/>
      </c>
      <c r="G9" s="27">
        <f>IF(OR(C9="",D9=""),"",IF(D9&gt;=C9,"En objetivo","Desviada"))</f>
        <v/>
      </c>
      <c r="H9" s="30" t="n"/>
      <c r="I9" s="30" t="n"/>
      <c r="J9" s="31" t="n"/>
    </row>
    <row r="10" ht="24" customHeight="1">
      <c r="A10" s="10" t="inlineStr">
        <is>
          <t>Tasa de cierre</t>
        </is>
      </c>
      <c r="B10" s="27" t="inlineStr">
        <is>
          <t>Más alto</t>
        </is>
      </c>
      <c r="C10" s="28" t="n"/>
      <c r="D10" s="29">
        <f>INDEX(Métricas!B9:M9,$B$4)</f>
        <v/>
      </c>
      <c r="E10" s="17">
        <f>IF($B$4=1,"",INDEX(Métricas!B9:M9,$B$4-1))</f>
        <v/>
      </c>
      <c r="F10" s="27">
        <f>IF(OR(D10="",E10=""),"",IF(D10&gt;E10,"Sube",IF(D10&lt;E10,"Baja","Igual")))</f>
        <v/>
      </c>
      <c r="G10" s="27">
        <f>IF(OR(C10="",D10=""),"",IF(D10&gt;=C10,"En objetivo","Desviada"))</f>
        <v/>
      </c>
      <c r="H10" s="30" t="n"/>
      <c r="I10" s="30" t="n"/>
      <c r="J10" s="31" t="n"/>
    </row>
    <row r="11" ht="24" customHeight="1">
      <c r="A11" s="10" t="inlineStr">
        <is>
          <t>Valor medio por venta</t>
        </is>
      </c>
      <c r="B11" s="27" t="inlineStr">
        <is>
          <t>Más alto</t>
        </is>
      </c>
      <c r="C11" s="32" t="n"/>
      <c r="D11" s="33">
        <f>INDEX(Métricas!B10:M10,$B$4)</f>
        <v/>
      </c>
      <c r="E11" s="18">
        <f>IF($B$4=1,"",INDEX(Métricas!B10:M10,$B$4-1))</f>
        <v/>
      </c>
      <c r="F11" s="27">
        <f>IF(OR(D11="",E11=""),"",IF(D11&gt;E11,"Sube",IF(D11&lt;E11,"Baja","Igual")))</f>
        <v/>
      </c>
      <c r="G11" s="27">
        <f>IF(OR(C11="",D11=""),"",IF(D11&gt;=C11,"En objetivo","Desviada"))</f>
        <v/>
      </c>
      <c r="H11" s="30" t="n"/>
      <c r="I11" s="30" t="n"/>
      <c r="J11" s="31" t="n"/>
    </row>
    <row r="12" ht="24" customHeight="1">
      <c r="A12" s="10" t="inlineStr">
        <is>
          <t>Coste de adquisición de cliente</t>
        </is>
      </c>
      <c r="B12" s="27" t="inlineStr">
        <is>
          <t>Más bajo</t>
        </is>
      </c>
      <c r="C12" s="32" t="n"/>
      <c r="D12" s="33">
        <f>INDEX(Métricas!B11:M11,$B$4)</f>
        <v/>
      </c>
      <c r="E12" s="18">
        <f>IF($B$4=1,"",INDEX(Métricas!B11:M11,$B$4-1))</f>
        <v/>
      </c>
      <c r="F12" s="27">
        <f>IF(OR(D12="",E12=""),"",IF(D12&gt;E12,"Sube",IF(D12&lt;E12,"Baja","Igual")))</f>
        <v/>
      </c>
      <c r="G12" s="27">
        <f>IF(OR(C12="",D12=""),"",IF(D12&lt;=C12,"En objetivo","Desviada"))</f>
        <v/>
      </c>
      <c r="H12" s="30" t="n"/>
      <c r="I12" s="30" t="n"/>
      <c r="J12" s="31" t="n"/>
    </row>
    <row r="13" ht="24" customHeight="1">
      <c r="A13" s="10" t="inlineStr">
        <is>
          <t>Valor de vida del cliente</t>
        </is>
      </c>
      <c r="B13" s="27" t="inlineStr">
        <is>
          <t>Más alto</t>
        </is>
      </c>
      <c r="C13" s="15" t="n"/>
      <c r="D13" s="34">
        <f>INDEX(Métricas!B12:M12,$B$4)</f>
        <v/>
      </c>
      <c r="E13" s="19">
        <f>IF($B$4=1,"",INDEX(Métricas!B12:M12,$B$4-1))</f>
        <v/>
      </c>
      <c r="F13" s="27">
        <f>IF(OR(D13="",E13=""),"",IF(D13&gt;E13,"Sube",IF(D13&lt;E13,"Baja","Igual")))</f>
        <v/>
      </c>
      <c r="G13" s="27">
        <f>IF(OR(C13="",D13=""),"",IF(D13&gt;=C13,"En objetivo","Desviada"))</f>
        <v/>
      </c>
      <c r="H13" s="30" t="n"/>
      <c r="I13" s="30" t="n"/>
      <c r="J13" s="31" t="n"/>
    </row>
    <row r="14" ht="24" customHeight="1">
      <c r="A14" s="10" t="inlineStr">
        <is>
          <t>Tasa de abandono</t>
        </is>
      </c>
      <c r="B14" s="27" t="inlineStr">
        <is>
          <t>Más bajo</t>
        </is>
      </c>
      <c r="C14" s="28" t="n"/>
      <c r="D14" s="29">
        <f>INDEX(Métricas!B13:M13,$B$4)</f>
        <v/>
      </c>
      <c r="E14" s="17">
        <f>IF($B$4=1,"",INDEX(Métricas!B13:M13,$B$4-1))</f>
        <v/>
      </c>
      <c r="F14" s="27">
        <f>IF(OR(D14="",E14=""),"",IF(D14&gt;E14,"Sube",IF(D14&lt;E14,"Baja","Igual")))</f>
        <v/>
      </c>
      <c r="G14" s="27">
        <f>IF(OR(C14="",D14=""),"",IF(D14&lt;=C14,"En objetivo","Desviada"))</f>
        <v/>
      </c>
      <c r="H14" s="30" t="n"/>
      <c r="I14" s="30" t="n"/>
      <c r="J14" s="31" t="n"/>
    </row>
    <row r="15" ht="24" customHeight="1">
      <c r="A15" s="10" t="inlineStr">
        <is>
          <t>NPS</t>
        </is>
      </c>
      <c r="B15" s="27" t="inlineStr">
        <is>
          <t>Más alto</t>
        </is>
      </c>
      <c r="C15" s="35" t="n"/>
      <c r="D15" s="36">
        <f>INDEX(Métricas!B14:M14,$B$4)</f>
        <v/>
      </c>
      <c r="E15" s="20">
        <f>IF($B$4=1,"",INDEX(Métricas!B14:M14,$B$4-1))</f>
        <v/>
      </c>
      <c r="F15" s="27">
        <f>IF(OR(D15="",E15=""),"",IF(D15&gt;E15,"Sube",IF(D15&lt;E15,"Baja","Igual")))</f>
        <v/>
      </c>
      <c r="G15" s="27">
        <f>IF(OR(C15="",D15=""),"",IF(D15&gt;=C15,"En objetivo","Desviada"))</f>
        <v/>
      </c>
      <c r="H15" s="30" t="n"/>
      <c r="I15" s="30" t="n"/>
      <c r="J15" s="31" t="n"/>
    </row>
    <row r="16" ht="24" customHeight="1">
      <c r="A16" s="10" t="inlineStr">
        <is>
          <t>Tiempo de primera respuesta (horas)</t>
        </is>
      </c>
      <c r="B16" s="27" t="inlineStr">
        <is>
          <t>Más bajo</t>
        </is>
      </c>
      <c r="C16" s="16" t="n"/>
      <c r="D16" s="37">
        <f>INDEX(Métricas!B15:M15,$B$4)</f>
        <v/>
      </c>
      <c r="E16" s="21">
        <f>IF($B$4=1,"",INDEX(Métricas!B15:M15,$B$4-1))</f>
        <v/>
      </c>
      <c r="F16" s="27">
        <f>IF(OR(D16="",E16=""),"",IF(D16&gt;E16,"Sube",IF(D16&lt;E16,"Baja","Igual")))</f>
        <v/>
      </c>
      <c r="G16" s="27">
        <f>IF(OR(C16="",D16=""),"",IF(D16&lt;=C16,"En objetivo","Desviada"))</f>
        <v/>
      </c>
      <c r="H16" s="30" t="n"/>
      <c r="I16" s="30" t="n"/>
      <c r="J16" s="31" t="n"/>
    </row>
    <row r="18">
      <c r="A18" s="22" t="inlineStr">
        <is>
          <t>Valor de vida ÷ coste de adquisición</t>
        </is>
      </c>
      <c r="D18" s="38">
        <f>INDEX(Métricas!B16:M16,$B$4)</f>
        <v/>
      </c>
    </row>
    <row r="20">
      <c r="A20" s="10" t="inlineStr">
        <is>
          <t>Cómo se calcula cada métrica</t>
        </is>
      </c>
    </row>
    <row r="21">
      <c r="A21" s="39" t="inlineStr">
        <is>
          <t>Tasa de conversión de la web</t>
        </is>
      </c>
      <c r="B21" s="40" t="inlineStr">
        <is>
          <t>Contactos ÷ visitas × 100</t>
        </is>
      </c>
    </row>
    <row r="22">
      <c r="A22" s="39" t="inlineStr">
        <is>
          <t>Coste por contacto</t>
        </is>
      </c>
      <c r="B22" s="40" t="inlineStr">
        <is>
          <t>Inversión en captación ÷ contactos conseguidos</t>
        </is>
      </c>
    </row>
    <row r="23">
      <c r="A23" s="39" t="inlineStr">
        <is>
          <t>Tasa de clics del email</t>
        </is>
      </c>
      <c r="B23" s="40" t="inlineStr">
        <is>
          <t>Clics ÷ correos entregados × 100</t>
        </is>
      </c>
    </row>
    <row r="24">
      <c r="A24" s="39" t="inlineStr">
        <is>
          <t>Tasa de cierre</t>
        </is>
      </c>
      <c r="B24" s="40" t="inlineStr">
        <is>
          <t>Ventas ganadas ÷ presupuestos enviados × 100</t>
        </is>
      </c>
    </row>
    <row r="25">
      <c r="A25" s="39" t="inlineStr">
        <is>
          <t>Valor medio por venta</t>
        </is>
      </c>
      <c r="B25" s="40" t="inlineStr">
        <is>
          <t>Ingresos ÷ número de ventas</t>
        </is>
      </c>
    </row>
    <row r="26">
      <c r="A26" s="39" t="inlineStr">
        <is>
          <t>Coste de adquisición de cliente</t>
        </is>
      </c>
      <c r="B26" s="40" t="inlineStr">
        <is>
          <t>Inversión total en marketing y ventas ÷ clientes nuevos</t>
        </is>
      </c>
    </row>
    <row r="27">
      <c r="A27" s="39" t="inlineStr">
        <is>
          <t>Valor de vida del cliente</t>
        </is>
      </c>
      <c r="B27" s="40" t="inlineStr">
        <is>
          <t>Margen medio anual por cliente × años medios de relación</t>
        </is>
      </c>
    </row>
    <row r="28">
      <c r="A28" s="39" t="inlineStr">
        <is>
          <t>Tasa de abandono</t>
        </is>
      </c>
      <c r="B28" s="40" t="inlineStr">
        <is>
          <t>Clientes perdidos en el periodo ÷ clientes al inicio × 100</t>
        </is>
      </c>
    </row>
    <row r="29">
      <c r="A29" s="39" t="inlineStr">
        <is>
          <t>NPS</t>
        </is>
      </c>
      <c r="B29" s="40" t="inlineStr">
        <is>
          <t>% de promotores − % de detractores</t>
        </is>
      </c>
    </row>
    <row r="30">
      <c r="A30" s="39" t="inlineStr">
        <is>
          <t>Tiempo de primera respuesta (horas)</t>
        </is>
      </c>
      <c r="B30" s="40" t="inlineStr">
        <is>
          <t>Tiempo medio entre la consulta y la primera respuesta</t>
        </is>
      </c>
    </row>
  </sheetData>
  <conditionalFormatting sqref="G7:G16">
    <cfRule type="cellIs" priority="1" operator="equal" dxfId="0">
      <formula>"En objetivo"</formula>
    </cfRule>
    <cfRule type="cellIs" priority="2" operator="equal" dxfId="1">
      <formula>"Desviada"</formula>
    </cfRule>
  </conditionalFormatting>
  <dataValidations count="1">
    <dataValidation sqref="B4" showDropDown="0" showInputMessage="0" showErrorMessage="1" allowBlank="1" error="Escribe un número entre 1 y 12." type="whole" operator="between">
      <formula1>1</formula1>
      <formula2>12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2026-10-22T19:24:52Z</dcterms:created>
  <dcterms:modified xmlns:dcterms="http://purl.org/dc/terms/" xmlns:xsi="http://www.w3.org/2001/XMLSchema-instance" xsi:type="dcterms:W3CDTF">2026-10-22T19:24:52Z</dcterms:modified>
</cp:coreProperties>
</file>