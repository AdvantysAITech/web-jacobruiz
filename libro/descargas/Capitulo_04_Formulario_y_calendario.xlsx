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Formulario" sheetId="2" state="visible" r:id="rId2"/>
    <sheet xmlns:r="http://schemas.openxmlformats.org/officeDocument/2006/relationships" name="Ofertas" sheetId="3" state="visible" r:id="rId3"/>
    <sheet xmlns:r="http://schemas.openxmlformats.org/officeDocument/2006/relationships" name="Calendario de contenidos" sheetId="4" state="visible" r:id="rId4"/>
    <sheet xmlns:r="http://schemas.openxmlformats.org/officeDocument/2006/relationships" name="Medi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ddd dd/mm"/>
    <numFmt numFmtId="166" formatCode="mmm yyyy"/>
    <numFmt numFmtId="167" formatCode="#,##0 &quot;€&quot;"/>
    <numFmt numFmtId="168" formatCode="0.0%"/>
    <numFmt numFmtId="169" formatCode="#,##0.00 &quot;€&quot;"/>
  </numFmts>
  <fonts count="11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FFFFFF"/>
      <sz val="9"/>
    </font>
    <font>
      <name val="Arial"/>
      <color rgb="001F1F1F"/>
      <sz val="9"/>
    </font>
    <font>
      <name val="Arial"/>
      <b val="1"/>
      <color rgb="001F1F1F"/>
      <sz val="9"/>
    </font>
  </fonts>
  <fills count="5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1F1F1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top" wrapText="1"/>
    </xf>
    <xf numFmtId="0" fontId="9" fillId="2" borderId="2" applyAlignment="1" pivotButton="0" quotePrefix="0" xfId="0">
      <alignment horizontal="center" vertical="top" wrapText="1"/>
    </xf>
    <xf numFmtId="0" fontId="9" fillId="2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vertical="top" wrapText="1"/>
    </xf>
    <xf numFmtId="164" fontId="9" fillId="2" borderId="2" applyAlignment="1" pivotButton="0" quotePrefix="0" xfId="0">
      <alignment vertical="top" wrapText="1"/>
    </xf>
    <xf numFmtId="165" fontId="9" fillId="0" borderId="2" applyAlignment="1" pivotButton="0" quotePrefix="0" xfId="0">
      <alignment horizontal="center" vertical="top" wrapText="1"/>
    </xf>
    <xf numFmtId="0" fontId="9" fillId="4" borderId="2" applyAlignment="1" pivotButton="0" quotePrefix="0" xfId="0">
      <alignment horizontal="center" vertical="top" wrapText="1"/>
    </xf>
    <xf numFmtId="165" fontId="9" fillId="4" borderId="2" applyAlignment="1" pivotButton="0" quotePrefix="0" xfId="0">
      <alignment horizontal="center" vertical="top" wrapText="1"/>
    </xf>
    <xf numFmtId="166" fontId="9" fillId="2" borderId="2" applyAlignment="1" pivotButton="0" quotePrefix="0" xfId="0">
      <alignment vertical="top" wrapText="1"/>
    </xf>
    <xf numFmtId="167" fontId="9" fillId="2" borderId="2" applyAlignment="1" pivotButton="0" quotePrefix="0" xfId="0">
      <alignment vertical="top" wrapText="1"/>
    </xf>
    <xf numFmtId="168" fontId="9" fillId="0" borderId="2" applyAlignment="1" pivotButton="0" quotePrefix="0" xfId="0">
      <alignment horizontal="center" vertical="top" wrapText="1"/>
    </xf>
    <xf numFmtId="169" fontId="9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fgColor rgb="00E3A72F"/>
        </patternFill>
      </fill>
    </dxf>
    <dxf>
      <fill>
        <patternFill patternType="solid">
          <fgColor rgb="00E5F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4 · MATERIAL PRÁCTICO</t>
        </is>
      </c>
      <c r="B1" s="2" t="n"/>
    </row>
    <row r="2" ht="24" customHeight="1">
      <c r="A2" s="3" t="inlineStr">
        <is>
          <t>Formulario y calendario de contenidos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Revisa tu formulario</t>
        </is>
      </c>
    </row>
    <row r="7" ht="45" customHeight="1">
      <c r="B7" s="6" t="inlineStr">
        <is>
          <t>Pasa tu formulario principal por las ocho comprobaciones de la hoja «Formulario» y corrige todo lo que no cumpla. Después rellénalo tú mismo como si fueras un cliente y cronometra cuánto tardas en recibir respuesta.</t>
        </is>
      </c>
    </row>
    <row r="9">
      <c r="A9" s="5" t="inlineStr">
        <is>
          <t>2. Tus ofertas de valor</t>
        </is>
      </c>
    </row>
    <row r="10" ht="30" customHeight="1">
      <c r="B10" s="6" t="inlineStr">
        <is>
          <t>Nadie deja sus datos sin recibir algo a cambio. Apunta en «Ofertas» qué ofreces a cada perfil y con qué página y formulario. Si tienes varias ofertas, una página y un formulario para cada una.</t>
        </is>
      </c>
    </row>
    <row r="12">
      <c r="A12" s="5" t="inlineStr">
        <is>
          <t>3. Calendario de contenidos</t>
        </is>
      </c>
    </row>
    <row r="13" ht="45" customHeight="1">
      <c r="B13" s="6" t="inlineStr">
        <is>
          <t>Escribe la fecha del primer lunes y el calendario pone las fechas de las trece semanas. Planifica dos o tres publicaciones por semana en las dos o tres redes donde está tu público, alterna formatos y programa por adelantado.</t>
        </is>
      </c>
    </row>
    <row r="14" ht="30" customHeight="1">
      <c r="B14" s="6" t="inlineStr">
        <is>
          <t>Programa las publicaciones, pero no automatices la conversación: revisa a diario los comentarios y mensajes y responde como una persona.</t>
        </is>
      </c>
    </row>
    <row r="16">
      <c r="A16" s="5" t="inlineStr">
        <is>
          <t>4. Mide</t>
        </is>
      </c>
    </row>
    <row r="17" ht="45" customHeight="1">
      <c r="B17" s="6" t="inlineStr">
        <is>
          <t>En «Medir» apunta cada mes las visitas, los contactos, la inversión y los presupuestos o ventas de cada oferta o canal. La hoja calcula la tasa de conversión, el coste por contacto y la calidad de los contactos.</t>
        </is>
      </c>
    </row>
    <row r="19">
      <c r="A19" s="7" t="n"/>
      <c r="B19" s="8" t="inlineStr">
        <is>
          <t>Las celdas en amarillo claro son para rellenar. Las demás se calculan solas.</t>
        </is>
      </c>
    </row>
    <row r="21" ht="26" customHeight="1">
      <c r="B21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CAPÍTULO 4 · MATERIAL PRÁCTICO</t>
        </is>
      </c>
      <c r="B1" s="2" t="n"/>
      <c r="C1" s="2" t="n"/>
      <c r="D1" s="2" t="n"/>
    </row>
    <row r="2" ht="24" customHeight="1">
      <c r="A2" s="3" t="inlineStr">
        <is>
          <t>El formulario perfecto</t>
        </is>
      </c>
    </row>
    <row r="3">
      <c r="A3" s="4" t="inlineStr">
        <is>
          <t>Revisa tu formulario principal</t>
        </is>
      </c>
    </row>
    <row r="5" ht="30" customHeight="1">
      <c r="A5" s="10" t="inlineStr">
        <is>
          <t>N.º</t>
        </is>
      </c>
      <c r="B5" s="10" t="inlineStr">
        <is>
          <t>Comprobación</t>
        </is>
      </c>
      <c r="C5" s="10" t="inlineStr">
        <is>
          <t>¿Cumple?</t>
        </is>
      </c>
      <c r="D5" s="10" t="inlineStr">
        <is>
          <t>Qué hay que corregir</t>
        </is>
      </c>
    </row>
    <row r="6" ht="28" customHeight="1">
      <c r="A6" s="11" t="n">
        <v>1</v>
      </c>
      <c r="B6" s="12" t="inlineStr">
        <is>
          <t>Pide solo nombre y correo electrónico, y añade un tercer campo solo si de verdad lo vas a usar para segmentar.</t>
        </is>
      </c>
      <c r="C6" s="13" t="n"/>
      <c r="D6" s="14" t="n"/>
    </row>
    <row r="7" ht="28" customHeight="1">
      <c r="A7" s="11" t="n">
        <v>2</v>
      </c>
      <c r="B7" s="12" t="inlineStr">
        <is>
          <t>Cada campo tiene una etiqueta clara.</t>
        </is>
      </c>
      <c r="C7" s="13" t="n"/>
      <c r="D7" s="14" t="n"/>
    </row>
    <row r="8" ht="28" customHeight="1">
      <c r="A8" s="11" t="n">
        <v>3</v>
      </c>
      <c r="B8" s="12" t="inlineStr">
        <is>
          <t>El botón dice lo que pasa al pulsarlo: «Descargar la guía», no «Enviar».</t>
        </is>
      </c>
      <c r="C8" s="13" t="n"/>
      <c r="D8" s="14" t="n"/>
    </row>
    <row r="9" ht="28" customHeight="1">
      <c r="A9" s="11" t="n">
        <v>4</v>
      </c>
      <c r="B9" s="12" t="inlineStr">
        <is>
          <t>Si vas a enviar comunicaciones comerciales, hay una casilla de consentimiento sin marcar por defecto.</t>
        </is>
      </c>
      <c r="C9" s="13" t="n"/>
      <c r="D9" s="14" t="n"/>
    </row>
    <row r="10" ht="28" customHeight="1">
      <c r="A10" s="11" t="n">
        <v>5</v>
      </c>
      <c r="B10" s="12" t="inlineStr">
        <is>
          <t>Enlaza a tu política de privacidad.</t>
        </is>
      </c>
      <c r="C10" s="13" t="n"/>
      <c r="D10" s="14" t="n"/>
    </row>
    <row r="11" ht="28" customHeight="1">
      <c r="A11" s="11" t="n">
        <v>6</v>
      </c>
      <c r="B11" s="12" t="inlineStr">
        <is>
          <t>Después de enviarlo, aparece un mensaje de agradecimiento que dice qué pasará a continuación.</t>
        </is>
      </c>
      <c r="C11" s="13" t="n"/>
      <c r="D11" s="14" t="n"/>
    </row>
    <row r="12" ht="28" customHeight="1">
      <c r="A12" s="11" t="n">
        <v>7</v>
      </c>
      <c r="B12" s="12" t="inlineStr">
        <is>
          <t>El contacto recibe la respuesta automática en menos de un minuto.</t>
        </is>
      </c>
      <c r="C12" s="13" t="n"/>
      <c r="D12" s="14" t="n"/>
    </row>
    <row r="13" ht="28" customHeight="1">
      <c r="A13" s="11" t="n">
        <v>8</v>
      </c>
      <c r="B13" s="12" t="inlineStr">
        <is>
          <t>Funciona y se lee bien en el móvil.</t>
        </is>
      </c>
      <c r="C13" s="13" t="n"/>
      <c r="D13" s="14" t="n"/>
    </row>
    <row r="15">
      <c r="B15" s="15" t="inlineStr">
        <is>
          <t>Comprobaciones que cumple</t>
        </is>
      </c>
      <c r="C15" s="16">
        <f>COUNTIF(C6:C13,"Sí")&amp;" de 8"</f>
        <v/>
      </c>
    </row>
    <row r="16">
      <c r="B16" s="17" t="inlineStr">
        <is>
          <t>Segundos que tardó la respuesta automática en tu prueba</t>
        </is>
      </c>
      <c r="C16" s="13" t="n"/>
    </row>
    <row r="18" ht="30" customHeight="1">
      <c r="A18" s="10" t="inlineStr"/>
      <c r="B18" s="10" t="inlineStr">
        <is>
          <t>Lo que tiene que pasar sin que nadie intervenga cuando alguien envía el formulario</t>
        </is>
      </c>
      <c r="C18" s="10" t="inlineStr">
        <is>
          <t>¿Pasa?</t>
        </is>
      </c>
      <c r="D18" s="10" t="inlineStr"/>
    </row>
    <row r="19" ht="28" customHeight="1">
      <c r="A19" s="11" t="n">
        <v>1</v>
      </c>
      <c r="B19" s="12" t="inlineStr">
        <is>
          <t>Respuesta inmediata: un correo de agradecimiento con la oferta prometida y una breve presentación.</t>
        </is>
      </c>
      <c r="C19" s="13" t="n"/>
    </row>
    <row r="20" ht="28" customHeight="1">
      <c r="A20" s="11" t="n">
        <v>2</v>
      </c>
      <c r="B20" s="12" t="inlineStr">
        <is>
          <t>Alta en el CRM con su origen y la oferta que descargó.</t>
        </is>
      </c>
      <c r="C20" s="13" t="n"/>
    </row>
    <row r="21" ht="28" customHeight="1">
      <c r="A21" s="11" t="n">
        <v>3</v>
      </c>
      <c r="B21" s="12" t="inlineStr">
        <is>
          <t>Segmentación inicial según lo que pidió y lo que respondió en el formulario.</t>
        </is>
      </c>
      <c r="C21" s="13" t="n"/>
    </row>
    <row r="22" ht="28" customHeight="1">
      <c r="A22" s="11" t="n">
        <v>4</v>
      </c>
      <c r="B22" s="12" t="inlineStr">
        <is>
          <t>Aviso al equipo si es un contacto caliente, por ejemplo si pidió presupuesto: tarea para llamarle ese mismo día.</t>
        </is>
      </c>
      <c r="C22" s="13" t="n"/>
    </row>
    <row r="23" ht="28" customHeight="1">
      <c r="A23" s="11" t="n">
        <v>5</v>
      </c>
      <c r="B23" s="12" t="inlineStr">
        <is>
          <t>Entrada en una secuencia de nutrición que le acompaña hasta la compra (capítulo 5).</t>
        </is>
      </c>
      <c r="C23" s="13" t="n"/>
    </row>
  </sheetData>
  <conditionalFormatting sqref="C6:C13">
    <cfRule type="cellIs" priority="1" operator="equal" dxfId="0">
      <formula>"No"</formula>
    </cfRule>
  </conditionalFormatting>
  <dataValidations count="2">
    <dataValidation sqref="C6:C13" showDropDown="0" showInputMessage="0" showErrorMessage="1" allowBlank="1" errorTitle="Valor no válido" error="Elige una opción de la lista." type="list">
      <formula1>"Sí,No"</formula1>
    </dataValidation>
    <dataValidation sqref="C19:C23" showDropDown="0" showInputMessage="0" showErrorMessage="1" allowBlank="1" errorTitle="Valor no válido" error="Elige una opción de la lista." type="list">
      <formula1>"Sí,No"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30" customWidth="1" min="4" max="4"/>
    <col width="26" customWidth="1" min="5" max="5"/>
    <col width="26" customWidth="1" min="6" max="6"/>
    <col width="14" customWidth="1" min="7" max="7"/>
  </cols>
  <sheetData>
    <row r="1">
      <c r="A1" s="1" t="inlineStr">
        <is>
          <t>CAPÍTULO 4 · MATERIAL PRÁCTICO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3" t="inlineStr">
        <is>
          <t>Tus ofertas de valor</t>
        </is>
      </c>
    </row>
    <row r="3">
      <c r="A3" s="4" t="inlineStr">
        <is>
          <t>Qué ofreces a cada perfil a cambio de sus datos</t>
        </is>
      </c>
    </row>
    <row r="5" ht="30" customHeight="1">
      <c r="A5" s="10" t="inlineStr">
        <is>
          <t>Oferta</t>
        </is>
      </c>
      <c r="B5" s="10" t="inlineStr">
        <is>
          <t>Perfil al que se dirige</t>
        </is>
      </c>
      <c r="C5" s="10" t="inlineStr">
        <is>
          <t>Formato</t>
        </is>
      </c>
      <c r="D5" s="10" t="inlineStr">
        <is>
          <t>Página de aterrizaje</t>
        </is>
      </c>
      <c r="E5" s="10" t="inlineStr">
        <is>
          <t>Campos del formulario</t>
        </is>
      </c>
      <c r="F5" s="10" t="inlineStr">
        <is>
          <t>Secuencia que activa</t>
        </is>
      </c>
      <c r="G5" s="10" t="inlineStr">
        <is>
          <t>Estado</t>
        </is>
      </c>
    </row>
    <row r="6">
      <c r="A6" s="14" t="n"/>
      <c r="B6" s="14" t="n"/>
      <c r="C6" s="14" t="n"/>
      <c r="D6" s="14" t="n"/>
      <c r="E6" s="14" t="n"/>
      <c r="F6" s="14" t="n"/>
      <c r="G6" s="14" t="n"/>
    </row>
    <row r="7">
      <c r="A7" s="14" t="n"/>
      <c r="B7" s="14" t="n"/>
      <c r="C7" s="14" t="n"/>
      <c r="D7" s="14" t="n"/>
      <c r="E7" s="14" t="n"/>
      <c r="F7" s="14" t="n"/>
      <c r="G7" s="14" t="n"/>
    </row>
    <row r="8">
      <c r="A8" s="14" t="n"/>
      <c r="B8" s="14" t="n"/>
      <c r="C8" s="14" t="n"/>
      <c r="D8" s="14" t="n"/>
      <c r="E8" s="14" t="n"/>
      <c r="F8" s="14" t="n"/>
      <c r="G8" s="14" t="n"/>
    </row>
    <row r="9">
      <c r="A9" s="14" t="n"/>
      <c r="B9" s="14" t="n"/>
      <c r="C9" s="14" t="n"/>
      <c r="D9" s="14" t="n"/>
      <c r="E9" s="14" t="n"/>
      <c r="F9" s="14" t="n"/>
      <c r="G9" s="14" t="n"/>
    </row>
    <row r="10">
      <c r="A10" s="14" t="n"/>
      <c r="B10" s="14" t="n"/>
      <c r="C10" s="14" t="n"/>
      <c r="D10" s="14" t="n"/>
      <c r="E10" s="14" t="n"/>
      <c r="F10" s="14" t="n"/>
      <c r="G10" s="14" t="n"/>
    </row>
    <row r="11">
      <c r="A11" s="14" t="n"/>
      <c r="B11" s="14" t="n"/>
      <c r="C11" s="14" t="n"/>
      <c r="D11" s="14" t="n"/>
      <c r="E11" s="14" t="n"/>
      <c r="F11" s="14" t="n"/>
      <c r="G11" s="14" t="n"/>
    </row>
    <row r="12">
      <c r="A12" s="14" t="n"/>
      <c r="B12" s="14" t="n"/>
      <c r="C12" s="14" t="n"/>
      <c r="D12" s="14" t="n"/>
      <c r="E12" s="14" t="n"/>
      <c r="F12" s="14" t="n"/>
      <c r="G12" s="14" t="n"/>
    </row>
    <row r="13">
      <c r="A13" s="14" t="n"/>
      <c r="B13" s="14" t="n"/>
      <c r="C13" s="14" t="n"/>
      <c r="D13" s="14" t="n"/>
      <c r="E13" s="14" t="n"/>
      <c r="F13" s="14" t="n"/>
      <c r="G13" s="14" t="n"/>
    </row>
    <row r="14">
      <c r="A14" s="14" t="n"/>
      <c r="B14" s="14" t="n"/>
      <c r="C14" s="14" t="n"/>
      <c r="D14" s="14" t="n"/>
      <c r="E14" s="14" t="n"/>
      <c r="F14" s="14" t="n"/>
      <c r="G14" s="14" t="n"/>
    </row>
    <row r="15">
      <c r="A15" s="14" t="n"/>
      <c r="B15" s="14" t="n"/>
      <c r="C15" s="14" t="n"/>
      <c r="D15" s="14" t="n"/>
      <c r="E15" s="14" t="n"/>
      <c r="F15" s="14" t="n"/>
      <c r="G15" s="14" t="n"/>
    </row>
  </sheetData>
  <dataValidations count="2">
    <dataValidation sqref="C6:C15" showDropDown="0" showInputMessage="0" showErrorMessage="1" allowBlank="1" errorTitle="Valor no válido" error="Elige una opción de la lista." type="list">
      <formula1>"Guía,Plantilla,Lista de comprobación,Descuento,Prueba gratuita,Sesión formativa,Diagnóstico o calculadora,Otro"</formula1>
    </dataValidation>
    <dataValidation sqref="G6:G15" showDropDown="0" showInputMessage="0" showErrorMessage="1" allowBlank="1" errorTitle="Valor no válido" error="Elige una opción de la lista." type="list">
      <formula1>"Idea,En preparación,Publicada"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4" customWidth="1" min="4" max="4"/>
    <col width="26" customWidth="1" min="5" max="5"/>
    <col width="14" customWidth="1" min="6" max="6"/>
    <col width="40" customWidth="1" min="7" max="7"/>
    <col width="26" customWidth="1" min="8" max="8"/>
    <col width="22" customWidth="1" min="9" max="9"/>
    <col width="14" customWidth="1" min="10" max="10"/>
    <col width="10" customWidth="1" min="11" max="11"/>
    <col width="11" customWidth="1" min="12" max="12"/>
    <col width="9" customWidth="1" min="13" max="13"/>
  </cols>
  <sheetData>
    <row r="1">
      <c r="A1" s="1" t="inlineStr">
        <is>
          <t>CAPÍTULO 4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3" t="inlineStr">
        <is>
          <t>Calendario de contenidos para redes sociales</t>
        </is>
      </c>
    </row>
    <row r="3">
      <c r="A3" s="4" t="inlineStr">
        <is>
          <t>Trece semanas: escribe la fecha del primer lunes</t>
        </is>
      </c>
    </row>
    <row r="5">
      <c r="A5" s="17" t="inlineStr">
        <is>
          <t>Primer lunes</t>
        </is>
      </c>
      <c r="B5" s="18" t="n"/>
    </row>
    <row r="7" ht="30" customHeight="1">
      <c r="A7" s="10" t="inlineStr">
        <is>
          <t>Semana</t>
        </is>
      </c>
      <c r="B7" s="10" t="inlineStr">
        <is>
          <t>Fecha</t>
        </is>
      </c>
      <c r="C7" s="10" t="inlineStr">
        <is>
          <t>Red</t>
        </is>
      </c>
      <c r="D7" s="10" t="inlineStr">
        <is>
          <t>Objetivo</t>
        </is>
      </c>
      <c r="E7" s="10" t="inlineStr">
        <is>
          <t>Tema</t>
        </is>
      </c>
      <c r="F7" s="10" t="inlineStr">
        <is>
          <t>Formato</t>
        </is>
      </c>
      <c r="G7" s="10" t="inlineStr">
        <is>
          <t>Texto o idea</t>
        </is>
      </c>
      <c r="H7" s="10" t="inlineStr">
        <is>
          <t>Enlace a la página de aterrizaje</t>
        </is>
      </c>
      <c r="I7" s="10" t="inlineStr">
        <is>
          <t>Etiquetas</t>
        </is>
      </c>
      <c r="J7" s="10" t="inlineStr">
        <is>
          <t>Estado</t>
        </is>
      </c>
      <c r="K7" s="10" t="inlineStr">
        <is>
          <t>Alcance</t>
        </is>
      </c>
      <c r="L7" s="10" t="inlineStr">
        <is>
          <t>Interacción</t>
        </is>
      </c>
      <c r="M7" s="10" t="inlineStr">
        <is>
          <t>Clics</t>
        </is>
      </c>
    </row>
    <row r="8">
      <c r="A8" s="11" t="n">
        <v>1</v>
      </c>
      <c r="B8" s="19">
        <f>IF($B$5="","",$B$5+0+0)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3" t="n"/>
      <c r="L8" s="13" t="n"/>
      <c r="M8" s="13" t="n"/>
    </row>
    <row r="9">
      <c r="A9" s="11" t="n">
        <v>1</v>
      </c>
      <c r="B9" s="19">
        <f>IF($B$5="","",$B$5+0+2)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3" t="n"/>
      <c r="L9" s="13" t="n"/>
      <c r="M9" s="13" t="n"/>
    </row>
    <row r="10">
      <c r="A10" s="11" t="n">
        <v>1</v>
      </c>
      <c r="B10" s="19">
        <f>IF($B$5="","",$B$5+0+4)</f>
        <v/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3" t="n"/>
      <c r="L10" s="13" t="n"/>
      <c r="M10" s="13" t="n"/>
    </row>
    <row r="11">
      <c r="A11" s="20" t="n">
        <v>2</v>
      </c>
      <c r="B11" s="21">
        <f>IF($B$5="","",$B$5+7+0)</f>
        <v/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3" t="n"/>
      <c r="L11" s="13" t="n"/>
      <c r="M11" s="13" t="n"/>
    </row>
    <row r="12">
      <c r="A12" s="20" t="n">
        <v>2</v>
      </c>
      <c r="B12" s="21">
        <f>IF($B$5="","",$B$5+7+2)</f>
        <v/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3" t="n"/>
      <c r="L12" s="13" t="n"/>
      <c r="M12" s="13" t="n"/>
    </row>
    <row r="13">
      <c r="A13" s="20" t="n">
        <v>2</v>
      </c>
      <c r="B13" s="21">
        <f>IF($B$5="","",$B$5+7+4)</f>
        <v/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3" t="n"/>
      <c r="L13" s="13" t="n"/>
      <c r="M13" s="13" t="n"/>
    </row>
    <row r="14">
      <c r="A14" s="11" t="n">
        <v>3</v>
      </c>
      <c r="B14" s="19">
        <f>IF($B$5="","",$B$5+14+0)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3" t="n"/>
      <c r="L14" s="13" t="n"/>
      <c r="M14" s="13" t="n"/>
    </row>
    <row r="15">
      <c r="A15" s="11" t="n">
        <v>3</v>
      </c>
      <c r="B15" s="19">
        <f>IF($B$5="","",$B$5+14+2)</f>
        <v/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3" t="n"/>
      <c r="L15" s="13" t="n"/>
      <c r="M15" s="13" t="n"/>
    </row>
    <row r="16">
      <c r="A16" s="11" t="n">
        <v>3</v>
      </c>
      <c r="B16" s="19">
        <f>IF($B$5="","",$B$5+14+4)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3" t="n"/>
      <c r="L16" s="13" t="n"/>
      <c r="M16" s="13" t="n"/>
    </row>
    <row r="17">
      <c r="A17" s="20" t="n">
        <v>4</v>
      </c>
      <c r="B17" s="21">
        <f>IF($B$5="","",$B$5+21+0)</f>
        <v/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3" t="n"/>
      <c r="L17" s="13" t="n"/>
      <c r="M17" s="13" t="n"/>
    </row>
    <row r="18">
      <c r="A18" s="20" t="n">
        <v>4</v>
      </c>
      <c r="B18" s="21">
        <f>IF($B$5="","",$B$5+21+2)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3" t="n"/>
      <c r="L18" s="13" t="n"/>
      <c r="M18" s="13" t="n"/>
    </row>
    <row r="19">
      <c r="A19" s="20" t="n">
        <v>4</v>
      </c>
      <c r="B19" s="21">
        <f>IF($B$5="","",$B$5+21+4)</f>
        <v/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3" t="n"/>
      <c r="L19" s="13" t="n"/>
      <c r="M19" s="13" t="n"/>
    </row>
    <row r="20">
      <c r="A20" s="11" t="n">
        <v>5</v>
      </c>
      <c r="B20" s="19">
        <f>IF($B$5="","",$B$5+28+0)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3" t="n"/>
      <c r="L20" s="13" t="n"/>
      <c r="M20" s="13" t="n"/>
    </row>
    <row r="21">
      <c r="A21" s="11" t="n">
        <v>5</v>
      </c>
      <c r="B21" s="19">
        <f>IF($B$5="","",$B$5+28+2)</f>
        <v/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3" t="n"/>
      <c r="L21" s="13" t="n"/>
      <c r="M21" s="13" t="n"/>
    </row>
    <row r="22">
      <c r="A22" s="11" t="n">
        <v>5</v>
      </c>
      <c r="B22" s="19">
        <f>IF($B$5="","",$B$5+28+4)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3" t="n"/>
      <c r="L22" s="13" t="n"/>
      <c r="M22" s="13" t="n"/>
    </row>
    <row r="23">
      <c r="A23" s="20" t="n">
        <v>6</v>
      </c>
      <c r="B23" s="21">
        <f>IF($B$5="","",$B$5+35+0)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3" t="n"/>
      <c r="L23" s="13" t="n"/>
      <c r="M23" s="13" t="n"/>
    </row>
    <row r="24">
      <c r="A24" s="20" t="n">
        <v>6</v>
      </c>
      <c r="B24" s="21">
        <f>IF($B$5="","",$B$5+35+2)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3" t="n"/>
      <c r="L24" s="13" t="n"/>
      <c r="M24" s="13" t="n"/>
    </row>
    <row r="25">
      <c r="A25" s="20" t="n">
        <v>6</v>
      </c>
      <c r="B25" s="21">
        <f>IF($B$5="","",$B$5+35+4)</f>
        <v/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3" t="n"/>
      <c r="L25" s="13" t="n"/>
      <c r="M25" s="13" t="n"/>
    </row>
    <row r="26">
      <c r="A26" s="11" t="n">
        <v>7</v>
      </c>
      <c r="B26" s="19">
        <f>IF($B$5="","",$B$5+42+0)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3" t="n"/>
      <c r="L26" s="13" t="n"/>
      <c r="M26" s="13" t="n"/>
    </row>
    <row r="27">
      <c r="A27" s="11" t="n">
        <v>7</v>
      </c>
      <c r="B27" s="19">
        <f>IF($B$5="","",$B$5+42+2)</f>
        <v/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3" t="n"/>
      <c r="L27" s="13" t="n"/>
      <c r="M27" s="13" t="n"/>
    </row>
    <row r="28">
      <c r="A28" s="11" t="n">
        <v>7</v>
      </c>
      <c r="B28" s="19">
        <f>IF($B$5="","",$B$5+42+4)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3" t="n"/>
      <c r="L28" s="13" t="n"/>
      <c r="M28" s="13" t="n"/>
    </row>
    <row r="29">
      <c r="A29" s="20" t="n">
        <v>8</v>
      </c>
      <c r="B29" s="21">
        <f>IF($B$5="","",$B$5+49+0)</f>
        <v/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3" t="n"/>
      <c r="L29" s="13" t="n"/>
      <c r="M29" s="13" t="n"/>
    </row>
    <row r="30">
      <c r="A30" s="20" t="n">
        <v>8</v>
      </c>
      <c r="B30" s="21">
        <f>IF($B$5="","",$B$5+49+2)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3" t="n"/>
      <c r="L30" s="13" t="n"/>
      <c r="M30" s="13" t="n"/>
    </row>
    <row r="31">
      <c r="A31" s="20" t="n">
        <v>8</v>
      </c>
      <c r="B31" s="21">
        <f>IF($B$5="","",$B$5+49+4)</f>
        <v/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3" t="n"/>
      <c r="L31" s="13" t="n"/>
      <c r="M31" s="13" t="n"/>
    </row>
    <row r="32">
      <c r="A32" s="11" t="n">
        <v>9</v>
      </c>
      <c r="B32" s="19">
        <f>IF($B$5="","",$B$5+56+0)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3" t="n"/>
      <c r="L32" s="13" t="n"/>
      <c r="M32" s="13" t="n"/>
    </row>
    <row r="33">
      <c r="A33" s="11" t="n">
        <v>9</v>
      </c>
      <c r="B33" s="19">
        <f>IF($B$5="","",$B$5+56+2)</f>
        <v/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3" t="n"/>
      <c r="L33" s="13" t="n"/>
      <c r="M33" s="13" t="n"/>
    </row>
    <row r="34">
      <c r="A34" s="11" t="n">
        <v>9</v>
      </c>
      <c r="B34" s="19">
        <f>IF($B$5="","",$B$5+56+4)</f>
        <v/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3" t="n"/>
      <c r="L34" s="13" t="n"/>
      <c r="M34" s="13" t="n"/>
    </row>
    <row r="35">
      <c r="A35" s="20" t="n">
        <v>10</v>
      </c>
      <c r="B35" s="21">
        <f>IF($B$5="","",$B$5+63+0)</f>
        <v/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3" t="n"/>
      <c r="L35" s="13" t="n"/>
      <c r="M35" s="13" t="n"/>
    </row>
    <row r="36">
      <c r="A36" s="20" t="n">
        <v>10</v>
      </c>
      <c r="B36" s="21">
        <f>IF($B$5="","",$B$5+63+2)</f>
        <v/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3" t="n"/>
      <c r="L36" s="13" t="n"/>
      <c r="M36" s="13" t="n"/>
    </row>
    <row r="37">
      <c r="A37" s="20" t="n">
        <v>10</v>
      </c>
      <c r="B37" s="21">
        <f>IF($B$5="","",$B$5+63+4)</f>
        <v/>
      </c>
      <c r="C37" s="14" t="n"/>
      <c r="D37" s="14" t="n"/>
      <c r="E37" s="14" t="n"/>
      <c r="F37" s="14" t="n"/>
      <c r="G37" s="14" t="n"/>
      <c r="H37" s="14" t="n"/>
      <c r="I37" s="14" t="n"/>
      <c r="J37" s="14" t="n"/>
      <c r="K37" s="13" t="n"/>
      <c r="L37" s="13" t="n"/>
      <c r="M37" s="13" t="n"/>
    </row>
    <row r="38">
      <c r="A38" s="11" t="n">
        <v>11</v>
      </c>
      <c r="B38" s="19">
        <f>IF($B$5="","",$B$5+70+0)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3" t="n"/>
      <c r="L38" s="13" t="n"/>
      <c r="M38" s="13" t="n"/>
    </row>
    <row r="39">
      <c r="A39" s="11" t="n">
        <v>11</v>
      </c>
      <c r="B39" s="19">
        <f>IF($B$5="","",$B$5+70+2)</f>
        <v/>
      </c>
      <c r="C39" s="14" t="n"/>
      <c r="D39" s="14" t="n"/>
      <c r="E39" s="14" t="n"/>
      <c r="F39" s="14" t="n"/>
      <c r="G39" s="14" t="n"/>
      <c r="H39" s="14" t="n"/>
      <c r="I39" s="14" t="n"/>
      <c r="J39" s="14" t="n"/>
      <c r="K39" s="13" t="n"/>
      <c r="L39" s="13" t="n"/>
      <c r="M39" s="13" t="n"/>
    </row>
    <row r="40">
      <c r="A40" s="11" t="n">
        <v>11</v>
      </c>
      <c r="B40" s="19">
        <f>IF($B$5="","",$B$5+70+4)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3" t="n"/>
      <c r="L40" s="13" t="n"/>
      <c r="M40" s="13" t="n"/>
    </row>
    <row r="41">
      <c r="A41" s="20" t="n">
        <v>12</v>
      </c>
      <c r="B41" s="21">
        <f>IF($B$5="","",$B$5+77+0)</f>
        <v/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3" t="n"/>
      <c r="L41" s="13" t="n"/>
      <c r="M41" s="13" t="n"/>
    </row>
    <row r="42">
      <c r="A42" s="20" t="n">
        <v>12</v>
      </c>
      <c r="B42" s="21">
        <f>IF($B$5="","",$B$5+77+2)</f>
        <v/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3" t="n"/>
      <c r="L42" s="13" t="n"/>
      <c r="M42" s="13" t="n"/>
    </row>
    <row r="43">
      <c r="A43" s="20" t="n">
        <v>12</v>
      </c>
      <c r="B43" s="21">
        <f>IF($B$5="","",$B$5+77+4)</f>
        <v/>
      </c>
      <c r="C43" s="14" t="n"/>
      <c r="D43" s="14" t="n"/>
      <c r="E43" s="14" t="n"/>
      <c r="F43" s="14" t="n"/>
      <c r="G43" s="14" t="n"/>
      <c r="H43" s="14" t="n"/>
      <c r="I43" s="14" t="n"/>
      <c r="J43" s="14" t="n"/>
      <c r="K43" s="13" t="n"/>
      <c r="L43" s="13" t="n"/>
      <c r="M43" s="13" t="n"/>
    </row>
    <row r="44">
      <c r="A44" s="11" t="n">
        <v>13</v>
      </c>
      <c r="B44" s="19">
        <f>IF($B$5="","",$B$5+84+0)</f>
        <v/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3" t="n"/>
      <c r="L44" s="13" t="n"/>
      <c r="M44" s="13" t="n"/>
    </row>
    <row r="45">
      <c r="A45" s="11" t="n">
        <v>13</v>
      </c>
      <c r="B45" s="19">
        <f>IF($B$5="","",$B$5+84+2)</f>
        <v/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3" t="n"/>
      <c r="L45" s="13" t="n"/>
      <c r="M45" s="13" t="n"/>
    </row>
    <row r="46">
      <c r="A46" s="11" t="n">
        <v>13</v>
      </c>
      <c r="B46" s="19">
        <f>IF($B$5="","",$B$5+84+4)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3" t="n"/>
      <c r="L46" s="13" t="n"/>
      <c r="M46" s="13" t="n"/>
    </row>
  </sheetData>
  <conditionalFormatting sqref="J8:J46">
    <cfRule type="cellIs" priority="1" operator="equal" dxfId="1">
      <formula>"Publicada"</formula>
    </cfRule>
  </conditionalFormatting>
  <dataValidations count="4">
    <dataValidation sqref="C8:C46" showDropDown="0" showInputMessage="0" showErrorMessage="1" allowBlank="1" errorTitle="Valor no válido" error="Elige una opción de la lista." type="list">
      <formula1>"LinkedIn,Instagram,Facebook,TikTok,YouTube,X,Otra"</formula1>
    </dataValidation>
    <dataValidation sqref="D8:D46" showDropDown="0" showInputMessage="0" showErrorMessage="1" allowBlank="1" errorTitle="Valor no válido" error="Elige una opción de la lista." type="list">
      <formula1>"Alcance,Contactos,Interacción"</formula1>
    </dataValidation>
    <dataValidation sqref="F8:F46" showDropDown="0" showInputMessage="0" showErrorMessage="1" allowBlank="1" errorTitle="Valor no válido" error="Elige una opción de la lista." type="list">
      <formula1>"Imagen,Vídeo,Carrusel,Infografía,Enlace,Texto"</formula1>
    </dataValidation>
    <dataValidation sqref="J8:J46" showDropDown="0" showInputMessage="0" showErrorMessage="1" allowBlank="1" errorTitle="Valor no válido" error="Elige una opción de la lista." type="list">
      <formula1>"Idea,En preparación,Programada,Publicada"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4" customWidth="1" min="5" max="5"/>
    <col width="18" customWidth="1" min="6" max="6"/>
    <col width="14" customWidth="1" min="7" max="7"/>
    <col width="16" customWidth="1" min="8" max="8"/>
    <col width="18" customWidth="1" min="9" max="9"/>
    <col width="30" customWidth="1" min="10" max="10"/>
  </cols>
  <sheetData>
    <row r="1">
      <c r="A1" s="1" t="inlineStr">
        <is>
          <t>CAPÍTULO 4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Mide tu captación</t>
        </is>
      </c>
    </row>
    <row r="3">
      <c r="A3" s="4" t="inlineStr">
        <is>
          <t>Tres números te dicen si tu captación funciona</t>
        </is>
      </c>
    </row>
    <row r="5" ht="30" customHeight="1">
      <c r="A5" s="10" t="inlineStr">
        <is>
          <t>Mes</t>
        </is>
      </c>
      <c r="B5" s="10" t="inlineStr">
        <is>
          <t>Oferta o canal</t>
        </is>
      </c>
      <c r="C5" s="10" t="inlineStr">
        <is>
          <t>Visitas a la página</t>
        </is>
      </c>
      <c r="D5" s="10" t="inlineStr">
        <is>
          <t>Contactos</t>
        </is>
      </c>
      <c r="E5" s="10" t="inlineStr">
        <is>
          <t>Inversión (€)</t>
        </is>
      </c>
      <c r="F5" s="10" t="inlineStr">
        <is>
          <t>Presupuestos o ventas</t>
        </is>
      </c>
      <c r="G5" s="10" t="inlineStr">
        <is>
          <t>Tasa de conversión</t>
        </is>
      </c>
      <c r="H5" s="10" t="inlineStr">
        <is>
          <t>Coste por contacto</t>
        </is>
      </c>
      <c r="I5" s="10" t="inlineStr">
        <is>
          <t>Calidad: contactos que compran o piden presupuesto</t>
        </is>
      </c>
      <c r="J5" s="10" t="inlineStr">
        <is>
          <t>Qué vas a probar (prueba A/B)</t>
        </is>
      </c>
    </row>
    <row r="6">
      <c r="A6" s="22" t="n"/>
      <c r="B6" s="14" t="n"/>
      <c r="C6" s="13" t="n"/>
      <c r="D6" s="13" t="n"/>
      <c r="E6" s="23" t="n"/>
      <c r="F6" s="13" t="n"/>
      <c r="G6" s="24">
        <f>IF(N(C6)=0,"",D6/C6)</f>
        <v/>
      </c>
      <c r="H6" s="25">
        <f>IF(N(D6)=0,"",E6/D6)</f>
        <v/>
      </c>
      <c r="I6" s="24">
        <f>IF(N(D6)=0,"",F6/D6)</f>
        <v/>
      </c>
      <c r="J6" s="14" t="n"/>
    </row>
    <row r="7">
      <c r="A7" s="22" t="n"/>
      <c r="B7" s="14" t="n"/>
      <c r="C7" s="13" t="n"/>
      <c r="D7" s="13" t="n"/>
      <c r="E7" s="23" t="n"/>
      <c r="F7" s="13" t="n"/>
      <c r="G7" s="24">
        <f>IF(N(C7)=0,"",D7/C7)</f>
        <v/>
      </c>
      <c r="H7" s="25">
        <f>IF(N(D7)=0,"",E7/D7)</f>
        <v/>
      </c>
      <c r="I7" s="24">
        <f>IF(N(D7)=0,"",F7/D7)</f>
        <v/>
      </c>
      <c r="J7" s="14" t="n"/>
    </row>
    <row r="8">
      <c r="A8" s="22" t="n"/>
      <c r="B8" s="14" t="n"/>
      <c r="C8" s="13" t="n"/>
      <c r="D8" s="13" t="n"/>
      <c r="E8" s="23" t="n"/>
      <c r="F8" s="13" t="n"/>
      <c r="G8" s="24">
        <f>IF(N(C8)=0,"",D8/C8)</f>
        <v/>
      </c>
      <c r="H8" s="25">
        <f>IF(N(D8)=0,"",E8/D8)</f>
        <v/>
      </c>
      <c r="I8" s="24">
        <f>IF(N(D8)=0,"",F8/D8)</f>
        <v/>
      </c>
      <c r="J8" s="14" t="n"/>
    </row>
    <row r="9">
      <c r="A9" s="22" t="n"/>
      <c r="B9" s="14" t="n"/>
      <c r="C9" s="13" t="n"/>
      <c r="D9" s="13" t="n"/>
      <c r="E9" s="23" t="n"/>
      <c r="F9" s="13" t="n"/>
      <c r="G9" s="24">
        <f>IF(N(C9)=0,"",D9/C9)</f>
        <v/>
      </c>
      <c r="H9" s="25">
        <f>IF(N(D9)=0,"",E9/D9)</f>
        <v/>
      </c>
      <c r="I9" s="24">
        <f>IF(N(D9)=0,"",F9/D9)</f>
        <v/>
      </c>
      <c r="J9" s="14" t="n"/>
    </row>
    <row r="10">
      <c r="A10" s="22" t="n"/>
      <c r="B10" s="14" t="n"/>
      <c r="C10" s="13" t="n"/>
      <c r="D10" s="13" t="n"/>
      <c r="E10" s="23" t="n"/>
      <c r="F10" s="13" t="n"/>
      <c r="G10" s="24">
        <f>IF(N(C10)=0,"",D10/C10)</f>
        <v/>
      </c>
      <c r="H10" s="25">
        <f>IF(N(D10)=0,"",E10/D10)</f>
        <v/>
      </c>
      <c r="I10" s="24">
        <f>IF(N(D10)=0,"",F10/D10)</f>
        <v/>
      </c>
      <c r="J10" s="14" t="n"/>
    </row>
    <row r="11">
      <c r="A11" s="22" t="n"/>
      <c r="B11" s="14" t="n"/>
      <c r="C11" s="13" t="n"/>
      <c r="D11" s="13" t="n"/>
      <c r="E11" s="23" t="n"/>
      <c r="F11" s="13" t="n"/>
      <c r="G11" s="24">
        <f>IF(N(C11)=0,"",D11/C11)</f>
        <v/>
      </c>
      <c r="H11" s="25">
        <f>IF(N(D11)=0,"",E11/D11)</f>
        <v/>
      </c>
      <c r="I11" s="24">
        <f>IF(N(D11)=0,"",F11/D11)</f>
        <v/>
      </c>
      <c r="J11" s="14" t="n"/>
    </row>
    <row r="12">
      <c r="A12" s="22" t="n"/>
      <c r="B12" s="14" t="n"/>
      <c r="C12" s="13" t="n"/>
      <c r="D12" s="13" t="n"/>
      <c r="E12" s="23" t="n"/>
      <c r="F12" s="13" t="n"/>
      <c r="G12" s="24">
        <f>IF(N(C12)=0,"",D12/C12)</f>
        <v/>
      </c>
      <c r="H12" s="25">
        <f>IF(N(D12)=0,"",E12/D12)</f>
        <v/>
      </c>
      <c r="I12" s="24">
        <f>IF(N(D12)=0,"",F12/D12)</f>
        <v/>
      </c>
      <c r="J12" s="14" t="n"/>
    </row>
    <row r="13">
      <c r="A13" s="22" t="n"/>
      <c r="B13" s="14" t="n"/>
      <c r="C13" s="13" t="n"/>
      <c r="D13" s="13" t="n"/>
      <c r="E13" s="23" t="n"/>
      <c r="F13" s="13" t="n"/>
      <c r="G13" s="24">
        <f>IF(N(C13)=0,"",D13/C13)</f>
        <v/>
      </c>
      <c r="H13" s="25">
        <f>IF(N(D13)=0,"",E13/D13)</f>
        <v/>
      </c>
      <c r="I13" s="24">
        <f>IF(N(D13)=0,"",F13/D13)</f>
        <v/>
      </c>
      <c r="J13" s="14" t="n"/>
    </row>
    <row r="14">
      <c r="A14" s="22" t="n"/>
      <c r="B14" s="14" t="n"/>
      <c r="C14" s="13" t="n"/>
      <c r="D14" s="13" t="n"/>
      <c r="E14" s="23" t="n"/>
      <c r="F14" s="13" t="n"/>
      <c r="G14" s="24">
        <f>IF(N(C14)=0,"",D14/C14)</f>
        <v/>
      </c>
      <c r="H14" s="25">
        <f>IF(N(D14)=0,"",E14/D14)</f>
        <v/>
      </c>
      <c r="I14" s="24">
        <f>IF(N(D14)=0,"",F14/D14)</f>
        <v/>
      </c>
      <c r="J14" s="14" t="n"/>
    </row>
    <row r="15">
      <c r="A15" s="22" t="n"/>
      <c r="B15" s="14" t="n"/>
      <c r="C15" s="13" t="n"/>
      <c r="D15" s="13" t="n"/>
      <c r="E15" s="23" t="n"/>
      <c r="F15" s="13" t="n"/>
      <c r="G15" s="24">
        <f>IF(N(C15)=0,"",D15/C15)</f>
        <v/>
      </c>
      <c r="H15" s="25">
        <f>IF(N(D15)=0,"",E15/D15)</f>
        <v/>
      </c>
      <c r="I15" s="24">
        <f>IF(N(D15)=0,"",F15/D15)</f>
        <v/>
      </c>
      <c r="J15" s="14" t="n"/>
    </row>
    <row r="16">
      <c r="A16" s="22" t="n"/>
      <c r="B16" s="14" t="n"/>
      <c r="C16" s="13" t="n"/>
      <c r="D16" s="13" t="n"/>
      <c r="E16" s="23" t="n"/>
      <c r="F16" s="13" t="n"/>
      <c r="G16" s="24">
        <f>IF(N(C16)=0,"",D16/C16)</f>
        <v/>
      </c>
      <c r="H16" s="25">
        <f>IF(N(D16)=0,"",E16/D16)</f>
        <v/>
      </c>
      <c r="I16" s="24">
        <f>IF(N(D16)=0,"",F16/D16)</f>
        <v/>
      </c>
      <c r="J16" s="14" t="n"/>
    </row>
    <row r="17">
      <c r="A17" s="22" t="n"/>
      <c r="B17" s="14" t="n"/>
      <c r="C17" s="13" t="n"/>
      <c r="D17" s="13" t="n"/>
      <c r="E17" s="23" t="n"/>
      <c r="F17" s="13" t="n"/>
      <c r="G17" s="24">
        <f>IF(N(C17)=0,"",D17/C17)</f>
        <v/>
      </c>
      <c r="H17" s="25">
        <f>IF(N(D17)=0,"",E17/D17)</f>
        <v/>
      </c>
      <c r="I17" s="24">
        <f>IF(N(D17)=0,"",F17/D17)</f>
        <v/>
      </c>
      <c r="J17" s="14" t="n"/>
    </row>
    <row r="18">
      <c r="A18" s="22" t="n"/>
      <c r="B18" s="14" t="n"/>
      <c r="C18" s="13" t="n"/>
      <c r="D18" s="13" t="n"/>
      <c r="E18" s="23" t="n"/>
      <c r="F18" s="13" t="n"/>
      <c r="G18" s="24">
        <f>IF(N(C18)=0,"",D18/C18)</f>
        <v/>
      </c>
      <c r="H18" s="25">
        <f>IF(N(D18)=0,"",E18/D18)</f>
        <v/>
      </c>
      <c r="I18" s="24">
        <f>IF(N(D18)=0,"",F18/D18)</f>
        <v/>
      </c>
      <c r="J18" s="14" t="n"/>
    </row>
    <row r="19">
      <c r="A19" s="22" t="n"/>
      <c r="B19" s="14" t="n"/>
      <c r="C19" s="13" t="n"/>
      <c r="D19" s="13" t="n"/>
      <c r="E19" s="23" t="n"/>
      <c r="F19" s="13" t="n"/>
      <c r="G19" s="24">
        <f>IF(N(C19)=0,"",D19/C19)</f>
        <v/>
      </c>
      <c r="H19" s="25">
        <f>IF(N(D19)=0,"",E19/D19)</f>
        <v/>
      </c>
      <c r="I19" s="24">
        <f>IF(N(D19)=0,"",F19/D19)</f>
        <v/>
      </c>
      <c r="J19" s="14" t="n"/>
    </row>
    <row r="20">
      <c r="A20" s="22" t="n"/>
      <c r="B20" s="14" t="n"/>
      <c r="C20" s="13" t="n"/>
      <c r="D20" s="13" t="n"/>
      <c r="E20" s="23" t="n"/>
      <c r="F20" s="13" t="n"/>
      <c r="G20" s="24">
        <f>IF(N(C20)=0,"",D20/C20)</f>
        <v/>
      </c>
      <c r="H20" s="25">
        <f>IF(N(D20)=0,"",E20/D20)</f>
        <v/>
      </c>
      <c r="I20" s="24">
        <f>IF(N(D20)=0,"",F20/D20)</f>
        <v/>
      </c>
      <c r="J20" s="14" t="n"/>
    </row>
    <row r="21">
      <c r="A21" s="22" t="n"/>
      <c r="B21" s="14" t="n"/>
      <c r="C21" s="13" t="n"/>
      <c r="D21" s="13" t="n"/>
      <c r="E21" s="23" t="n"/>
      <c r="F21" s="13" t="n"/>
      <c r="G21" s="24">
        <f>IF(N(C21)=0,"",D21/C21)</f>
        <v/>
      </c>
      <c r="H21" s="25">
        <f>IF(N(D21)=0,"",E21/D21)</f>
        <v/>
      </c>
      <c r="I21" s="24">
        <f>IF(N(D21)=0,"",F21/D21)</f>
        <v/>
      </c>
      <c r="J21" s="14" t="n"/>
    </row>
    <row r="22">
      <c r="A22" s="22" t="n"/>
      <c r="B22" s="14" t="n"/>
      <c r="C22" s="13" t="n"/>
      <c r="D22" s="13" t="n"/>
      <c r="E22" s="23" t="n"/>
      <c r="F22" s="13" t="n"/>
      <c r="G22" s="24">
        <f>IF(N(C22)=0,"",D22/C22)</f>
        <v/>
      </c>
      <c r="H22" s="25">
        <f>IF(N(D22)=0,"",E22/D22)</f>
        <v/>
      </c>
      <c r="I22" s="24">
        <f>IF(N(D22)=0,"",F22/D22)</f>
        <v/>
      </c>
      <c r="J22" s="14" t="n"/>
    </row>
    <row r="23">
      <c r="A23" s="22" t="n"/>
      <c r="B23" s="14" t="n"/>
      <c r="C23" s="13" t="n"/>
      <c r="D23" s="13" t="n"/>
      <c r="E23" s="23" t="n"/>
      <c r="F23" s="13" t="n"/>
      <c r="G23" s="24">
        <f>IF(N(C23)=0,"",D23/C23)</f>
        <v/>
      </c>
      <c r="H23" s="25">
        <f>IF(N(D23)=0,"",E23/D23)</f>
        <v/>
      </c>
      <c r="I23" s="24">
        <f>IF(N(D23)=0,"",F23/D23)</f>
        <v/>
      </c>
      <c r="J23" s="14" t="n"/>
    </row>
    <row r="24">
      <c r="A24" s="22" t="n"/>
      <c r="B24" s="14" t="n"/>
      <c r="C24" s="13" t="n"/>
      <c r="D24" s="13" t="n"/>
      <c r="E24" s="23" t="n"/>
      <c r="F24" s="13" t="n"/>
      <c r="G24" s="24">
        <f>IF(N(C24)=0,"",D24/C24)</f>
        <v/>
      </c>
      <c r="H24" s="25">
        <f>IF(N(D24)=0,"",E24/D24)</f>
        <v/>
      </c>
      <c r="I24" s="24">
        <f>IF(N(D24)=0,"",F24/D24)</f>
        <v/>
      </c>
      <c r="J24" s="14" t="n"/>
    </row>
    <row r="25">
      <c r="A25" s="22" t="n"/>
      <c r="B25" s="14" t="n"/>
      <c r="C25" s="13" t="n"/>
      <c r="D25" s="13" t="n"/>
      <c r="E25" s="23" t="n"/>
      <c r="F25" s="13" t="n"/>
      <c r="G25" s="24">
        <f>IF(N(C25)=0,"",D25/C25)</f>
        <v/>
      </c>
      <c r="H25" s="25">
        <f>IF(N(D25)=0,"",E25/D25)</f>
        <v/>
      </c>
      <c r="I25" s="24">
        <f>IF(N(D25)=0,"",F25/D25)</f>
        <v/>
      </c>
      <c r="J25" s="14" t="n"/>
    </row>
    <row r="26">
      <c r="A26" s="22" t="n"/>
      <c r="B26" s="14" t="n"/>
      <c r="C26" s="13" t="n"/>
      <c r="D26" s="13" t="n"/>
      <c r="E26" s="23" t="n"/>
      <c r="F26" s="13" t="n"/>
      <c r="G26" s="24">
        <f>IF(N(C26)=0,"",D26/C26)</f>
        <v/>
      </c>
      <c r="H26" s="25">
        <f>IF(N(D26)=0,"",E26/D26)</f>
        <v/>
      </c>
      <c r="I26" s="24">
        <f>IF(N(D26)=0,"",F26/D26)</f>
        <v/>
      </c>
      <c r="J26" s="14" t="n"/>
    </row>
    <row r="27">
      <c r="A27" s="22" t="n"/>
      <c r="B27" s="14" t="n"/>
      <c r="C27" s="13" t="n"/>
      <c r="D27" s="13" t="n"/>
      <c r="E27" s="23" t="n"/>
      <c r="F27" s="13" t="n"/>
      <c r="G27" s="24">
        <f>IF(N(C27)=0,"",D27/C27)</f>
        <v/>
      </c>
      <c r="H27" s="25">
        <f>IF(N(D27)=0,"",E27/D27)</f>
        <v/>
      </c>
      <c r="I27" s="24">
        <f>IF(N(D27)=0,"",F27/D27)</f>
        <v/>
      </c>
      <c r="J27" s="14" t="n"/>
    </row>
    <row r="28">
      <c r="A28" s="22" t="n"/>
      <c r="B28" s="14" t="n"/>
      <c r="C28" s="13" t="n"/>
      <c r="D28" s="13" t="n"/>
      <c r="E28" s="23" t="n"/>
      <c r="F28" s="13" t="n"/>
      <c r="G28" s="24">
        <f>IF(N(C28)=0,"",D28/C28)</f>
        <v/>
      </c>
      <c r="H28" s="25">
        <f>IF(N(D28)=0,"",E28/D28)</f>
        <v/>
      </c>
      <c r="I28" s="24">
        <f>IF(N(D28)=0,"",F28/D28)</f>
        <v/>
      </c>
      <c r="J28" s="14" t="n"/>
    </row>
    <row r="29">
      <c r="A29" s="22" t="n"/>
      <c r="B29" s="14" t="n"/>
      <c r="C29" s="13" t="n"/>
      <c r="D29" s="13" t="n"/>
      <c r="E29" s="23" t="n"/>
      <c r="F29" s="13" t="n"/>
      <c r="G29" s="24">
        <f>IF(N(C29)=0,"",D29/C29)</f>
        <v/>
      </c>
      <c r="H29" s="25">
        <f>IF(N(D29)=0,"",E29/D29)</f>
        <v/>
      </c>
      <c r="I29" s="24">
        <f>IF(N(D29)=0,"",F29/D29)</f>
        <v/>
      </c>
      <c r="J29" s="14" t="n"/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2026-10-22T19:22:26Z</dcterms:created>
  <dcterms:modified xmlns:dcterms="http://purl.org/dc/terms/" xmlns:xsi="http://www.w3.org/2001/XMLSchema-instance" xsi:type="dcterms:W3CDTF">2026-10-22T19:22:26Z</dcterms:modified>
</cp:coreProperties>
</file>