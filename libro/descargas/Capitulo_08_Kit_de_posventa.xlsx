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mo usarlo" sheetId="1" state="visible" r:id="rId1"/>
    <sheet xmlns:r="http://schemas.openxmlformats.org/officeDocument/2006/relationships" name="NPS" sheetId="2" state="visible" r:id="rId2"/>
    <sheet xmlns:r="http://schemas.openxmlformats.org/officeDocument/2006/relationships" name="Renovaciones" sheetId="3" state="visible" r:id="rId3"/>
    <sheet xmlns:r="http://schemas.openxmlformats.org/officeDocument/2006/relationships" name="Devolu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;-0;0"/>
    <numFmt numFmtId="166" formatCode="dd/mm/yyyy"/>
  </numFmts>
  <fonts count="11">
    <font>
      <name val="Calibri"/>
      <family val="2"/>
      <color theme="1"/>
      <sz val="11"/>
      <scheme val="minor"/>
    </font>
    <font>
      <name val="Arial"/>
      <b val="1"/>
      <color rgb="008A5E00"/>
      <sz val="8"/>
    </font>
    <font>
      <name val="Arial"/>
      <b val="1"/>
      <color rgb="001F1F1F"/>
      <sz val="16"/>
    </font>
    <font>
      <name val="Arial"/>
      <color rgb="006B6B6B"/>
      <sz val="10"/>
    </font>
    <font>
      <name val="Arial"/>
      <b val="1"/>
      <sz val="11"/>
    </font>
    <font>
      <name val="Arial"/>
      <sz val="10"/>
    </font>
    <font>
      <name val="Arial"/>
      <b val="1"/>
      <color rgb="008A5E00"/>
      <sz val="9"/>
    </font>
    <font>
      <name val="Arial"/>
      <color rgb="006B6B6B"/>
      <sz val="8"/>
    </font>
    <font>
      <name val="Arial"/>
      <b val="1"/>
      <color rgb="001F1F1F"/>
      <sz val="9"/>
    </font>
    <font>
      <name val="Arial"/>
      <b val="1"/>
      <color rgb="00FFFFFF"/>
      <sz val="9"/>
    </font>
    <font>
      <name val="Arial"/>
      <color rgb="001F1F1F"/>
      <sz val="9"/>
    </font>
  </fonts>
  <fills count="6">
    <fill>
      <patternFill/>
    </fill>
    <fill>
      <patternFill patternType="gray125"/>
    </fill>
    <fill>
      <patternFill patternType="solid">
        <fgColor rgb="00FFF8E6"/>
      </patternFill>
    </fill>
    <fill>
      <patternFill patternType="solid">
        <fgColor rgb="00F2F2F2"/>
      </patternFill>
    </fill>
    <fill>
      <patternFill patternType="solid">
        <fgColor rgb="00E3A72F"/>
      </patternFill>
    </fill>
    <fill>
      <patternFill patternType="solid">
        <fgColor rgb="001F1F1F"/>
      </patternFill>
    </fill>
  </fills>
  <borders count="3">
    <border>
      <left/>
      <right/>
      <top/>
      <bottom/>
      <diagonal/>
    </border>
    <border>
      <top style="thick">
        <color rgb="00E3A72F"/>
      </top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2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8" fillId="0" borderId="2" applyAlignment="1" pivotButton="0" quotePrefix="0" xfId="0">
      <alignment vertical="top" wrapText="1"/>
    </xf>
    <xf numFmtId="1" fontId="8" fillId="0" borderId="2" applyAlignment="1" pivotButton="0" quotePrefix="0" xfId="0">
      <alignment horizontal="center" vertical="top" wrapText="1"/>
    </xf>
    <xf numFmtId="164" fontId="8" fillId="0" borderId="2" applyAlignment="1" pivotButton="0" quotePrefix="0" xfId="0">
      <alignment horizontal="center" vertical="top" wrapText="1"/>
    </xf>
    <xf numFmtId="0" fontId="8" fillId="3" borderId="2" applyAlignment="1" pivotButton="0" quotePrefix="0" xfId="0">
      <alignment vertical="top" wrapText="1"/>
    </xf>
    <xf numFmtId="165" fontId="8" fillId="4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center" vertical="top" wrapText="1"/>
    </xf>
    <xf numFmtId="0" fontId="9" fillId="5" borderId="2" applyAlignment="1" pivotButton="0" quotePrefix="0" xfId="0">
      <alignment vertical="center" wrapText="1"/>
    </xf>
    <xf numFmtId="166" fontId="10" fillId="2" borderId="2" applyAlignment="1" pivotButton="0" quotePrefix="0" xfId="0">
      <alignment vertical="top" wrapText="1"/>
    </xf>
    <xf numFmtId="0" fontId="10" fillId="2" borderId="2" applyAlignment="1" pivotButton="0" quotePrefix="0" xfId="0">
      <alignment vertical="top" wrapText="1"/>
    </xf>
    <xf numFmtId="0" fontId="10" fillId="2" borderId="2" applyAlignment="1" pivotButton="0" quotePrefix="0" xfId="0">
      <alignment horizontal="center" vertical="top" wrapText="1"/>
    </xf>
    <xf numFmtId="0" fontId="10" fillId="0" borderId="2" applyAlignment="1" pivotButton="0" quotePrefix="0" xfId="0">
      <alignment vertical="top" wrapText="1"/>
    </xf>
    <xf numFmtId="166" fontId="10" fillId="2" borderId="2" applyAlignment="1" pivotButton="0" quotePrefix="0" xfId="0">
      <alignment horizontal="center" vertical="top" wrapText="1"/>
    </xf>
    <xf numFmtId="166" fontId="10" fillId="0" borderId="2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top" wrapText="1"/>
    </xf>
  </cellXfs>
  <cellStyles count="1">
    <cellStyle name="Normal" xfId="0" builtinId="0" hidden="0"/>
  </cellStyles>
  <dxfs count="3">
    <dxf>
      <fill>
        <patternFill patternType="solid">
          <fgColor rgb="00FBEBEB"/>
        </patternFill>
      </fill>
    </dxf>
    <dxf>
      <fill>
        <patternFill patternType="solid">
          <fgColor rgb="00E5F4E4"/>
        </patternFill>
      </fill>
    </dxf>
    <dxf>
      <fill>
        <patternFill patternType="solid">
          <fgColor rgb="00E3A72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CAPÍTULO 8 · MATERIAL PRÁCTICO</t>
        </is>
      </c>
      <c r="B1" s="2" t="n"/>
    </row>
    <row r="2" ht="24" customHeight="1">
      <c r="A2" s="3" t="inlineStr">
        <is>
          <t>Kit de posventa</t>
        </is>
      </c>
    </row>
    <row r="3">
      <c r="A3" s="4" t="inlineStr">
        <is>
          <t>Material complementario de «Vende más y trabaja menos»</t>
        </is>
      </c>
    </row>
    <row r="6">
      <c r="A6" s="5" t="inlineStr">
        <is>
          <t>1. Encuesta NPS</t>
        </is>
      </c>
    </row>
    <row r="7" ht="45" customHeight="1">
      <c r="B7" s="6" t="inlineStr">
        <is>
          <t>Pega en la hoja «NPS» cada respuesta que recibes: la fecha, el cliente y la puntuación de 0 a 10. La hoja clasifica a cada cliente como promotor, pasivo o detractor, te dice qué respuesta toca y calcula tu NPS: porcentaje de promotores menos porcentaje de detractores. El resultado va de −100 a +100.</t>
        </is>
      </c>
    </row>
    <row r="8" ht="30" customHeight="1">
      <c r="B8" s="6" t="inlineStr">
        <is>
          <t>Más importante que la cifra es lo que haces con ella: a los promotores, pídeles una reseña; a los pasivos, pregúntales qué les falta; a los detractores, que les llame una persona en menos de 48 horas.</t>
        </is>
      </c>
    </row>
    <row r="10">
      <c r="A10" s="5" t="inlineStr">
        <is>
          <t>2. Renovaciones</t>
        </is>
      </c>
    </row>
    <row r="11" ht="30" customHeight="1">
      <c r="B11" s="6" t="inlineStr">
        <is>
          <t>Escribe la fecha de vencimiento de cada contrato, suscripción, mantenimiento o garantía. La hoja calcula las fechas de los avisos de 60, 30 y 7 días y te marca los que vencen pronto.</t>
        </is>
      </c>
    </row>
    <row r="13">
      <c r="A13" s="5" t="inlineStr">
        <is>
          <t>3. Devoluciones</t>
        </is>
      </c>
    </row>
    <row r="14" ht="30" customHeight="1">
      <c r="B14" s="6" t="inlineStr">
        <is>
          <t>Registra cada solicitud con su código de autorización y su motivo. Cada mes, el resumen de motivos te dirá si hay un producto que siempre vuelve por lo mismo.</t>
        </is>
      </c>
    </row>
    <row r="15" ht="30" customHeight="1">
      <c r="B15" s="6" t="inlineStr">
        <is>
          <t>Los textos de la encuesta, de las respuestas automáticas y de los avisos están en el documento Word de este capítulo.</t>
        </is>
      </c>
    </row>
    <row r="17">
      <c r="A17" s="7" t="n"/>
      <c r="B17" s="8" t="inlineStr">
        <is>
          <t>Las celdas en amarillo claro son para rellenar. Las demás se calculan solas.</t>
        </is>
      </c>
    </row>
    <row r="19" ht="26" customHeight="1">
      <c r="B19" s="9" t="inlineStr">
        <is>
          <t>Material complementario del libro «Vende más y trabaja menos», de Jacob Ruiz. © 2026 Jacob Ruiz. Uso libre en tu empresa; no se permite su venta ni su distribución como material propio.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13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34" customWidth="1" min="4" max="4"/>
    <col width="30" customWidth="1" min="5" max="5"/>
    <col width="14" customWidth="1" min="6" max="6"/>
    <col width="34" customWidth="1" min="7" max="7"/>
    <col width="16" customWidth="1" min="8" max="8"/>
    <col width="12" customWidth="1" min="9" max="9"/>
  </cols>
  <sheetData>
    <row r="1">
      <c r="A1" s="1" t="inlineStr">
        <is>
          <t>CAPÍTULO 8 · MATERIAL PRÁCTICO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Encuesta NPS: resultados y respuestas</t>
        </is>
      </c>
    </row>
    <row r="3">
      <c r="A3" s="4" t="inlineStr">
        <is>
          <t>NPS = % de promotores − % de detractores</t>
        </is>
      </c>
    </row>
    <row r="5">
      <c r="A5" s="10" t="inlineStr">
        <is>
          <t>Respuestas</t>
        </is>
      </c>
      <c r="B5" s="11">
        <f>COUNT(C14:C513)</f>
        <v/>
      </c>
    </row>
    <row r="6">
      <c r="A6" s="10" t="inlineStr">
        <is>
          <t>Promotores (9 o 10)</t>
        </is>
      </c>
      <c r="B6" s="12">
        <f>IF(B5=0,"",COUNTIF(C14:C513,"&gt;=9")/B5)</f>
        <v/>
      </c>
    </row>
    <row r="7">
      <c r="A7" s="10" t="inlineStr">
        <is>
          <t>Pasivos (7 u 8)</t>
        </is>
      </c>
      <c r="B7" s="12">
        <f>IF(B5=0,"",COUNTIFS(C14:C513,"&gt;=7",C14:C513,"&lt;=8")/B5)</f>
        <v/>
      </c>
    </row>
    <row r="8">
      <c r="A8" s="10" t="inlineStr">
        <is>
          <t>Detractores (0 a 6)</t>
        </is>
      </c>
      <c r="B8" s="12">
        <f>IF(B5=0,"",COUNTIF(C14:C513,"&lt;=6")/B5)</f>
        <v/>
      </c>
    </row>
    <row r="9">
      <c r="A9" s="13" t="inlineStr">
        <is>
          <t>NPS</t>
        </is>
      </c>
      <c r="B9" s="14">
        <f>IF(B5=0,"",ROUND((B6-B8)*100,0))</f>
        <v/>
      </c>
    </row>
    <row r="10">
      <c r="A10" s="10" t="inlineStr">
        <is>
          <t>Detractores sin resolver</t>
        </is>
      </c>
      <c r="B10" s="15">
        <f>COUNTIFS(F14:F513,"Detractor",I14:I513,"&lt;&gt;Sí")</f>
        <v/>
      </c>
    </row>
    <row r="13" ht="30" customHeight="1">
      <c r="A13" s="16" t="inlineStr">
        <is>
          <t>Fecha</t>
        </is>
      </c>
      <c r="B13" s="16" t="inlineStr">
        <is>
          <t>Cliente</t>
        </is>
      </c>
      <c r="C13" s="16" t="inlineStr">
        <is>
          <t>Puntuación (0-10)</t>
        </is>
      </c>
      <c r="D13" s="16" t="inlineStr">
        <is>
          <t>Motivo principal</t>
        </is>
      </c>
      <c r="E13" s="16" t="inlineStr">
        <is>
          <t>Qué podríamos mejorar</t>
        </is>
      </c>
      <c r="F13" s="16" t="inlineStr">
        <is>
          <t>Tipo</t>
        </is>
      </c>
      <c r="G13" s="16" t="inlineStr">
        <is>
          <t>Respuesta que toca</t>
        </is>
      </c>
      <c r="H13" s="16" t="inlineStr">
        <is>
          <t>Responsable</t>
        </is>
      </c>
      <c r="I13" s="16" t="inlineStr">
        <is>
          <t>¿Resuelto?</t>
        </is>
      </c>
    </row>
    <row r="14">
      <c r="A14" s="17" t="n"/>
      <c r="B14" s="18" t="n"/>
      <c r="C14" s="19" t="n"/>
      <c r="D14" s="18" t="n"/>
      <c r="E14" s="18" t="n"/>
      <c r="F14" s="10">
        <f>IF(C14="","",IF(C14&gt;=9,"Promotor",IF(C14&gt;=7,"Pasivo","Detractor")))</f>
        <v/>
      </c>
      <c r="G14" s="20">
        <f>IF(F14="","",IF(F14="Promotor","Pedir reseña o recomendación",IF(F14="Pasivo","Preguntar qué le falta para un 10","Llamada de una persona en menos de 48 horas")))</f>
        <v/>
      </c>
      <c r="H14" s="18" t="n"/>
      <c r="I14" s="19" t="n"/>
    </row>
    <row r="15">
      <c r="A15" s="17" t="n"/>
      <c r="B15" s="18" t="n"/>
      <c r="C15" s="19" t="n"/>
      <c r="D15" s="18" t="n"/>
      <c r="E15" s="18" t="n"/>
      <c r="F15" s="10">
        <f>IF(C15="","",IF(C15&gt;=9,"Promotor",IF(C15&gt;=7,"Pasivo","Detractor")))</f>
        <v/>
      </c>
      <c r="G15" s="20">
        <f>IF(F15="","",IF(F15="Promotor","Pedir reseña o recomendación",IF(F15="Pasivo","Preguntar qué le falta para un 10","Llamada de una persona en menos de 48 horas")))</f>
        <v/>
      </c>
      <c r="H15" s="18" t="n"/>
      <c r="I15" s="19" t="n"/>
    </row>
    <row r="16">
      <c r="A16" s="17" t="n"/>
      <c r="B16" s="18" t="n"/>
      <c r="C16" s="19" t="n"/>
      <c r="D16" s="18" t="n"/>
      <c r="E16" s="18" t="n"/>
      <c r="F16" s="10">
        <f>IF(C16="","",IF(C16&gt;=9,"Promotor",IF(C16&gt;=7,"Pasivo","Detractor")))</f>
        <v/>
      </c>
      <c r="G16" s="20">
        <f>IF(F16="","",IF(F16="Promotor","Pedir reseña o recomendación",IF(F16="Pasivo","Preguntar qué le falta para un 10","Llamada de una persona en menos de 48 horas")))</f>
        <v/>
      </c>
      <c r="H16" s="18" t="n"/>
      <c r="I16" s="19" t="n"/>
    </row>
    <row r="17">
      <c r="A17" s="17" t="n"/>
      <c r="B17" s="18" t="n"/>
      <c r="C17" s="19" t="n"/>
      <c r="D17" s="18" t="n"/>
      <c r="E17" s="18" t="n"/>
      <c r="F17" s="10">
        <f>IF(C17="","",IF(C17&gt;=9,"Promotor",IF(C17&gt;=7,"Pasivo","Detractor")))</f>
        <v/>
      </c>
      <c r="G17" s="20">
        <f>IF(F17="","",IF(F17="Promotor","Pedir reseña o recomendación",IF(F17="Pasivo","Preguntar qué le falta para un 10","Llamada de una persona en menos de 48 horas")))</f>
        <v/>
      </c>
      <c r="H17" s="18" t="n"/>
      <c r="I17" s="19" t="n"/>
    </row>
    <row r="18">
      <c r="A18" s="17" t="n"/>
      <c r="B18" s="18" t="n"/>
      <c r="C18" s="19" t="n"/>
      <c r="D18" s="18" t="n"/>
      <c r="E18" s="18" t="n"/>
      <c r="F18" s="10">
        <f>IF(C18="","",IF(C18&gt;=9,"Promotor",IF(C18&gt;=7,"Pasivo","Detractor")))</f>
        <v/>
      </c>
      <c r="G18" s="20">
        <f>IF(F18="","",IF(F18="Promotor","Pedir reseña o recomendación",IF(F18="Pasivo","Preguntar qué le falta para un 10","Llamada de una persona en menos de 48 horas")))</f>
        <v/>
      </c>
      <c r="H18" s="18" t="n"/>
      <c r="I18" s="19" t="n"/>
    </row>
    <row r="19">
      <c r="A19" s="17" t="n"/>
      <c r="B19" s="18" t="n"/>
      <c r="C19" s="19" t="n"/>
      <c r="D19" s="18" t="n"/>
      <c r="E19" s="18" t="n"/>
      <c r="F19" s="10">
        <f>IF(C19="","",IF(C19&gt;=9,"Promotor",IF(C19&gt;=7,"Pasivo","Detractor")))</f>
        <v/>
      </c>
      <c r="G19" s="20">
        <f>IF(F19="","",IF(F19="Promotor","Pedir reseña o recomendación",IF(F19="Pasivo","Preguntar qué le falta para un 10","Llamada de una persona en menos de 48 horas")))</f>
        <v/>
      </c>
      <c r="H19" s="18" t="n"/>
      <c r="I19" s="19" t="n"/>
    </row>
    <row r="20">
      <c r="A20" s="17" t="n"/>
      <c r="B20" s="18" t="n"/>
      <c r="C20" s="19" t="n"/>
      <c r="D20" s="18" t="n"/>
      <c r="E20" s="18" t="n"/>
      <c r="F20" s="10">
        <f>IF(C20="","",IF(C20&gt;=9,"Promotor",IF(C20&gt;=7,"Pasivo","Detractor")))</f>
        <v/>
      </c>
      <c r="G20" s="20">
        <f>IF(F20="","",IF(F20="Promotor","Pedir reseña o recomendación",IF(F20="Pasivo","Preguntar qué le falta para un 10","Llamada de una persona en menos de 48 horas")))</f>
        <v/>
      </c>
      <c r="H20" s="18" t="n"/>
      <c r="I20" s="19" t="n"/>
    </row>
    <row r="21">
      <c r="A21" s="17" t="n"/>
      <c r="B21" s="18" t="n"/>
      <c r="C21" s="19" t="n"/>
      <c r="D21" s="18" t="n"/>
      <c r="E21" s="18" t="n"/>
      <c r="F21" s="10">
        <f>IF(C21="","",IF(C21&gt;=9,"Promotor",IF(C21&gt;=7,"Pasivo","Detractor")))</f>
        <v/>
      </c>
      <c r="G21" s="20">
        <f>IF(F21="","",IF(F21="Promotor","Pedir reseña o recomendación",IF(F21="Pasivo","Preguntar qué le falta para un 10","Llamada de una persona en menos de 48 horas")))</f>
        <v/>
      </c>
      <c r="H21" s="18" t="n"/>
      <c r="I21" s="19" t="n"/>
    </row>
    <row r="22">
      <c r="A22" s="17" t="n"/>
      <c r="B22" s="18" t="n"/>
      <c r="C22" s="19" t="n"/>
      <c r="D22" s="18" t="n"/>
      <c r="E22" s="18" t="n"/>
      <c r="F22" s="10">
        <f>IF(C22="","",IF(C22&gt;=9,"Promotor",IF(C22&gt;=7,"Pasivo","Detractor")))</f>
        <v/>
      </c>
      <c r="G22" s="20">
        <f>IF(F22="","",IF(F22="Promotor","Pedir reseña o recomendación",IF(F22="Pasivo","Preguntar qué le falta para un 10","Llamada de una persona en menos de 48 horas")))</f>
        <v/>
      </c>
      <c r="H22" s="18" t="n"/>
      <c r="I22" s="19" t="n"/>
    </row>
    <row r="23">
      <c r="A23" s="17" t="n"/>
      <c r="B23" s="18" t="n"/>
      <c r="C23" s="19" t="n"/>
      <c r="D23" s="18" t="n"/>
      <c r="E23" s="18" t="n"/>
      <c r="F23" s="10">
        <f>IF(C23="","",IF(C23&gt;=9,"Promotor",IF(C23&gt;=7,"Pasivo","Detractor")))</f>
        <v/>
      </c>
      <c r="G23" s="20">
        <f>IF(F23="","",IF(F23="Promotor","Pedir reseña o recomendación",IF(F23="Pasivo","Preguntar qué le falta para un 10","Llamada de una persona en menos de 48 horas")))</f>
        <v/>
      </c>
      <c r="H23" s="18" t="n"/>
      <c r="I23" s="19" t="n"/>
    </row>
    <row r="24">
      <c r="A24" s="17" t="n"/>
      <c r="B24" s="18" t="n"/>
      <c r="C24" s="19" t="n"/>
      <c r="D24" s="18" t="n"/>
      <c r="E24" s="18" t="n"/>
      <c r="F24" s="10">
        <f>IF(C24="","",IF(C24&gt;=9,"Promotor",IF(C24&gt;=7,"Pasivo","Detractor")))</f>
        <v/>
      </c>
      <c r="G24" s="20">
        <f>IF(F24="","",IF(F24="Promotor","Pedir reseña o recomendación",IF(F24="Pasivo","Preguntar qué le falta para un 10","Llamada de una persona en menos de 48 horas")))</f>
        <v/>
      </c>
      <c r="H24" s="18" t="n"/>
      <c r="I24" s="19" t="n"/>
    </row>
    <row r="25">
      <c r="A25" s="17" t="n"/>
      <c r="B25" s="18" t="n"/>
      <c r="C25" s="19" t="n"/>
      <c r="D25" s="18" t="n"/>
      <c r="E25" s="18" t="n"/>
      <c r="F25" s="10">
        <f>IF(C25="","",IF(C25&gt;=9,"Promotor",IF(C25&gt;=7,"Pasivo","Detractor")))</f>
        <v/>
      </c>
      <c r="G25" s="20">
        <f>IF(F25="","",IF(F25="Promotor","Pedir reseña o recomendación",IF(F25="Pasivo","Preguntar qué le falta para un 10","Llamada de una persona en menos de 48 horas")))</f>
        <v/>
      </c>
      <c r="H25" s="18" t="n"/>
      <c r="I25" s="19" t="n"/>
    </row>
    <row r="26">
      <c r="A26" s="17" t="n"/>
      <c r="B26" s="18" t="n"/>
      <c r="C26" s="19" t="n"/>
      <c r="D26" s="18" t="n"/>
      <c r="E26" s="18" t="n"/>
      <c r="F26" s="10">
        <f>IF(C26="","",IF(C26&gt;=9,"Promotor",IF(C26&gt;=7,"Pasivo","Detractor")))</f>
        <v/>
      </c>
      <c r="G26" s="20">
        <f>IF(F26="","",IF(F26="Promotor","Pedir reseña o recomendación",IF(F26="Pasivo","Preguntar qué le falta para un 10","Llamada de una persona en menos de 48 horas")))</f>
        <v/>
      </c>
      <c r="H26" s="18" t="n"/>
      <c r="I26" s="19" t="n"/>
    </row>
    <row r="27">
      <c r="A27" s="17" t="n"/>
      <c r="B27" s="18" t="n"/>
      <c r="C27" s="19" t="n"/>
      <c r="D27" s="18" t="n"/>
      <c r="E27" s="18" t="n"/>
      <c r="F27" s="10">
        <f>IF(C27="","",IF(C27&gt;=9,"Promotor",IF(C27&gt;=7,"Pasivo","Detractor")))</f>
        <v/>
      </c>
      <c r="G27" s="20">
        <f>IF(F27="","",IF(F27="Promotor","Pedir reseña o recomendación",IF(F27="Pasivo","Preguntar qué le falta para un 10","Llamada de una persona en menos de 48 horas")))</f>
        <v/>
      </c>
      <c r="H27" s="18" t="n"/>
      <c r="I27" s="19" t="n"/>
    </row>
    <row r="28">
      <c r="A28" s="17" t="n"/>
      <c r="B28" s="18" t="n"/>
      <c r="C28" s="19" t="n"/>
      <c r="D28" s="18" t="n"/>
      <c r="E28" s="18" t="n"/>
      <c r="F28" s="10">
        <f>IF(C28="","",IF(C28&gt;=9,"Promotor",IF(C28&gt;=7,"Pasivo","Detractor")))</f>
        <v/>
      </c>
      <c r="G28" s="20">
        <f>IF(F28="","",IF(F28="Promotor","Pedir reseña o recomendación",IF(F28="Pasivo","Preguntar qué le falta para un 10","Llamada de una persona en menos de 48 horas")))</f>
        <v/>
      </c>
      <c r="H28" s="18" t="n"/>
      <c r="I28" s="19" t="n"/>
    </row>
    <row r="29">
      <c r="A29" s="17" t="n"/>
      <c r="B29" s="18" t="n"/>
      <c r="C29" s="19" t="n"/>
      <c r="D29" s="18" t="n"/>
      <c r="E29" s="18" t="n"/>
      <c r="F29" s="10">
        <f>IF(C29="","",IF(C29&gt;=9,"Promotor",IF(C29&gt;=7,"Pasivo","Detractor")))</f>
        <v/>
      </c>
      <c r="G29" s="20">
        <f>IF(F29="","",IF(F29="Promotor","Pedir reseña o recomendación",IF(F29="Pasivo","Preguntar qué le falta para un 10","Llamada de una persona en menos de 48 horas")))</f>
        <v/>
      </c>
      <c r="H29" s="18" t="n"/>
      <c r="I29" s="19" t="n"/>
    </row>
    <row r="30">
      <c r="A30" s="17" t="n"/>
      <c r="B30" s="18" t="n"/>
      <c r="C30" s="19" t="n"/>
      <c r="D30" s="18" t="n"/>
      <c r="E30" s="18" t="n"/>
      <c r="F30" s="10">
        <f>IF(C30="","",IF(C30&gt;=9,"Promotor",IF(C30&gt;=7,"Pasivo","Detractor")))</f>
        <v/>
      </c>
      <c r="G30" s="20">
        <f>IF(F30="","",IF(F30="Promotor","Pedir reseña o recomendación",IF(F30="Pasivo","Preguntar qué le falta para un 10","Llamada de una persona en menos de 48 horas")))</f>
        <v/>
      </c>
      <c r="H30" s="18" t="n"/>
      <c r="I30" s="19" t="n"/>
    </row>
    <row r="31">
      <c r="A31" s="17" t="n"/>
      <c r="B31" s="18" t="n"/>
      <c r="C31" s="19" t="n"/>
      <c r="D31" s="18" t="n"/>
      <c r="E31" s="18" t="n"/>
      <c r="F31" s="10">
        <f>IF(C31="","",IF(C31&gt;=9,"Promotor",IF(C31&gt;=7,"Pasivo","Detractor")))</f>
        <v/>
      </c>
      <c r="G31" s="20">
        <f>IF(F31="","",IF(F31="Promotor","Pedir reseña o recomendación",IF(F31="Pasivo","Preguntar qué le falta para un 10","Llamada de una persona en menos de 48 horas")))</f>
        <v/>
      </c>
      <c r="H31" s="18" t="n"/>
      <c r="I31" s="19" t="n"/>
    </row>
    <row r="32">
      <c r="A32" s="17" t="n"/>
      <c r="B32" s="18" t="n"/>
      <c r="C32" s="19" t="n"/>
      <c r="D32" s="18" t="n"/>
      <c r="E32" s="18" t="n"/>
      <c r="F32" s="10">
        <f>IF(C32="","",IF(C32&gt;=9,"Promotor",IF(C32&gt;=7,"Pasivo","Detractor")))</f>
        <v/>
      </c>
      <c r="G32" s="20">
        <f>IF(F32="","",IF(F32="Promotor","Pedir reseña o recomendación",IF(F32="Pasivo","Preguntar qué le falta para un 10","Llamada de una persona en menos de 48 horas")))</f>
        <v/>
      </c>
      <c r="H32" s="18" t="n"/>
      <c r="I32" s="19" t="n"/>
    </row>
    <row r="33">
      <c r="A33" s="17" t="n"/>
      <c r="B33" s="18" t="n"/>
      <c r="C33" s="19" t="n"/>
      <c r="D33" s="18" t="n"/>
      <c r="E33" s="18" t="n"/>
      <c r="F33" s="10">
        <f>IF(C33="","",IF(C33&gt;=9,"Promotor",IF(C33&gt;=7,"Pasivo","Detractor")))</f>
        <v/>
      </c>
      <c r="G33" s="20">
        <f>IF(F33="","",IF(F33="Promotor","Pedir reseña o recomendación",IF(F33="Pasivo","Preguntar qué le falta para un 10","Llamada de una persona en menos de 48 horas")))</f>
        <v/>
      </c>
      <c r="H33" s="18" t="n"/>
      <c r="I33" s="19" t="n"/>
    </row>
    <row r="34">
      <c r="A34" s="17" t="n"/>
      <c r="B34" s="18" t="n"/>
      <c r="C34" s="19" t="n"/>
      <c r="D34" s="18" t="n"/>
      <c r="E34" s="18" t="n"/>
      <c r="F34" s="10">
        <f>IF(C34="","",IF(C34&gt;=9,"Promotor",IF(C34&gt;=7,"Pasivo","Detractor")))</f>
        <v/>
      </c>
      <c r="G34" s="20">
        <f>IF(F34="","",IF(F34="Promotor","Pedir reseña o recomendación",IF(F34="Pasivo","Preguntar qué le falta para un 10","Llamada de una persona en menos de 48 horas")))</f>
        <v/>
      </c>
      <c r="H34" s="18" t="n"/>
      <c r="I34" s="19" t="n"/>
    </row>
    <row r="35">
      <c r="A35" s="17" t="n"/>
      <c r="B35" s="18" t="n"/>
      <c r="C35" s="19" t="n"/>
      <c r="D35" s="18" t="n"/>
      <c r="E35" s="18" t="n"/>
      <c r="F35" s="10">
        <f>IF(C35="","",IF(C35&gt;=9,"Promotor",IF(C35&gt;=7,"Pasivo","Detractor")))</f>
        <v/>
      </c>
      <c r="G35" s="20">
        <f>IF(F35="","",IF(F35="Promotor","Pedir reseña o recomendación",IF(F35="Pasivo","Preguntar qué le falta para un 10","Llamada de una persona en menos de 48 horas")))</f>
        <v/>
      </c>
      <c r="H35" s="18" t="n"/>
      <c r="I35" s="19" t="n"/>
    </row>
    <row r="36">
      <c r="A36" s="17" t="n"/>
      <c r="B36" s="18" t="n"/>
      <c r="C36" s="19" t="n"/>
      <c r="D36" s="18" t="n"/>
      <c r="E36" s="18" t="n"/>
      <c r="F36" s="10">
        <f>IF(C36="","",IF(C36&gt;=9,"Promotor",IF(C36&gt;=7,"Pasivo","Detractor")))</f>
        <v/>
      </c>
      <c r="G36" s="20">
        <f>IF(F36="","",IF(F36="Promotor","Pedir reseña o recomendación",IF(F36="Pasivo","Preguntar qué le falta para un 10","Llamada de una persona en menos de 48 horas")))</f>
        <v/>
      </c>
      <c r="H36" s="18" t="n"/>
      <c r="I36" s="19" t="n"/>
    </row>
    <row r="37">
      <c r="A37" s="17" t="n"/>
      <c r="B37" s="18" t="n"/>
      <c r="C37" s="19" t="n"/>
      <c r="D37" s="18" t="n"/>
      <c r="E37" s="18" t="n"/>
      <c r="F37" s="10">
        <f>IF(C37="","",IF(C37&gt;=9,"Promotor",IF(C37&gt;=7,"Pasivo","Detractor")))</f>
        <v/>
      </c>
      <c r="G37" s="20">
        <f>IF(F37="","",IF(F37="Promotor","Pedir reseña o recomendación",IF(F37="Pasivo","Preguntar qué le falta para un 10","Llamada de una persona en menos de 48 horas")))</f>
        <v/>
      </c>
      <c r="H37" s="18" t="n"/>
      <c r="I37" s="19" t="n"/>
    </row>
    <row r="38">
      <c r="A38" s="17" t="n"/>
      <c r="B38" s="18" t="n"/>
      <c r="C38" s="19" t="n"/>
      <c r="D38" s="18" t="n"/>
      <c r="E38" s="18" t="n"/>
      <c r="F38" s="10">
        <f>IF(C38="","",IF(C38&gt;=9,"Promotor",IF(C38&gt;=7,"Pasivo","Detractor")))</f>
        <v/>
      </c>
      <c r="G38" s="20">
        <f>IF(F38="","",IF(F38="Promotor","Pedir reseña o recomendación",IF(F38="Pasivo","Preguntar qué le falta para un 10","Llamada de una persona en menos de 48 horas")))</f>
        <v/>
      </c>
      <c r="H38" s="18" t="n"/>
      <c r="I38" s="19" t="n"/>
    </row>
    <row r="39">
      <c r="A39" s="17" t="n"/>
      <c r="B39" s="18" t="n"/>
      <c r="C39" s="19" t="n"/>
      <c r="D39" s="18" t="n"/>
      <c r="E39" s="18" t="n"/>
      <c r="F39" s="10">
        <f>IF(C39="","",IF(C39&gt;=9,"Promotor",IF(C39&gt;=7,"Pasivo","Detractor")))</f>
        <v/>
      </c>
      <c r="G39" s="20">
        <f>IF(F39="","",IF(F39="Promotor","Pedir reseña o recomendación",IF(F39="Pasivo","Preguntar qué le falta para un 10","Llamada de una persona en menos de 48 horas")))</f>
        <v/>
      </c>
      <c r="H39" s="18" t="n"/>
      <c r="I39" s="19" t="n"/>
    </row>
    <row r="40">
      <c r="A40" s="17" t="n"/>
      <c r="B40" s="18" t="n"/>
      <c r="C40" s="19" t="n"/>
      <c r="D40" s="18" t="n"/>
      <c r="E40" s="18" t="n"/>
      <c r="F40" s="10">
        <f>IF(C40="","",IF(C40&gt;=9,"Promotor",IF(C40&gt;=7,"Pasivo","Detractor")))</f>
        <v/>
      </c>
      <c r="G40" s="20">
        <f>IF(F40="","",IF(F40="Promotor","Pedir reseña o recomendación",IF(F40="Pasivo","Preguntar qué le falta para un 10","Llamada de una persona en menos de 48 horas")))</f>
        <v/>
      </c>
      <c r="H40" s="18" t="n"/>
      <c r="I40" s="19" t="n"/>
    </row>
    <row r="41">
      <c r="A41" s="17" t="n"/>
      <c r="B41" s="18" t="n"/>
      <c r="C41" s="19" t="n"/>
      <c r="D41" s="18" t="n"/>
      <c r="E41" s="18" t="n"/>
      <c r="F41" s="10">
        <f>IF(C41="","",IF(C41&gt;=9,"Promotor",IF(C41&gt;=7,"Pasivo","Detractor")))</f>
        <v/>
      </c>
      <c r="G41" s="20">
        <f>IF(F41="","",IF(F41="Promotor","Pedir reseña o recomendación",IF(F41="Pasivo","Preguntar qué le falta para un 10","Llamada de una persona en menos de 48 horas")))</f>
        <v/>
      </c>
      <c r="H41" s="18" t="n"/>
      <c r="I41" s="19" t="n"/>
    </row>
    <row r="42">
      <c r="A42" s="17" t="n"/>
      <c r="B42" s="18" t="n"/>
      <c r="C42" s="19" t="n"/>
      <c r="D42" s="18" t="n"/>
      <c r="E42" s="18" t="n"/>
      <c r="F42" s="10">
        <f>IF(C42="","",IF(C42&gt;=9,"Promotor",IF(C42&gt;=7,"Pasivo","Detractor")))</f>
        <v/>
      </c>
      <c r="G42" s="20">
        <f>IF(F42="","",IF(F42="Promotor","Pedir reseña o recomendación",IF(F42="Pasivo","Preguntar qué le falta para un 10","Llamada de una persona en menos de 48 horas")))</f>
        <v/>
      </c>
      <c r="H42" s="18" t="n"/>
      <c r="I42" s="19" t="n"/>
    </row>
    <row r="43">
      <c r="A43" s="17" t="n"/>
      <c r="B43" s="18" t="n"/>
      <c r="C43" s="19" t="n"/>
      <c r="D43" s="18" t="n"/>
      <c r="E43" s="18" t="n"/>
      <c r="F43" s="10">
        <f>IF(C43="","",IF(C43&gt;=9,"Promotor",IF(C43&gt;=7,"Pasivo","Detractor")))</f>
        <v/>
      </c>
      <c r="G43" s="20">
        <f>IF(F43="","",IF(F43="Promotor","Pedir reseña o recomendación",IF(F43="Pasivo","Preguntar qué le falta para un 10","Llamada de una persona en menos de 48 horas")))</f>
        <v/>
      </c>
      <c r="H43" s="18" t="n"/>
      <c r="I43" s="19" t="n"/>
    </row>
    <row r="44">
      <c r="A44" s="17" t="n"/>
      <c r="B44" s="18" t="n"/>
      <c r="C44" s="19" t="n"/>
      <c r="D44" s="18" t="n"/>
      <c r="E44" s="18" t="n"/>
      <c r="F44" s="10">
        <f>IF(C44="","",IF(C44&gt;=9,"Promotor",IF(C44&gt;=7,"Pasivo","Detractor")))</f>
        <v/>
      </c>
      <c r="G44" s="20">
        <f>IF(F44="","",IF(F44="Promotor","Pedir reseña o recomendación",IF(F44="Pasivo","Preguntar qué le falta para un 10","Llamada de una persona en menos de 48 horas")))</f>
        <v/>
      </c>
      <c r="H44" s="18" t="n"/>
      <c r="I44" s="19" t="n"/>
    </row>
    <row r="45">
      <c r="A45" s="17" t="n"/>
      <c r="B45" s="18" t="n"/>
      <c r="C45" s="19" t="n"/>
      <c r="D45" s="18" t="n"/>
      <c r="E45" s="18" t="n"/>
      <c r="F45" s="10">
        <f>IF(C45="","",IF(C45&gt;=9,"Promotor",IF(C45&gt;=7,"Pasivo","Detractor")))</f>
        <v/>
      </c>
      <c r="G45" s="20">
        <f>IF(F45="","",IF(F45="Promotor","Pedir reseña o recomendación",IF(F45="Pasivo","Preguntar qué le falta para un 10","Llamada de una persona en menos de 48 horas")))</f>
        <v/>
      </c>
      <c r="H45" s="18" t="n"/>
      <c r="I45" s="19" t="n"/>
    </row>
    <row r="46">
      <c r="A46" s="17" t="n"/>
      <c r="B46" s="18" t="n"/>
      <c r="C46" s="19" t="n"/>
      <c r="D46" s="18" t="n"/>
      <c r="E46" s="18" t="n"/>
      <c r="F46" s="10">
        <f>IF(C46="","",IF(C46&gt;=9,"Promotor",IF(C46&gt;=7,"Pasivo","Detractor")))</f>
        <v/>
      </c>
      <c r="G46" s="20">
        <f>IF(F46="","",IF(F46="Promotor","Pedir reseña o recomendación",IF(F46="Pasivo","Preguntar qué le falta para un 10","Llamada de una persona en menos de 48 horas")))</f>
        <v/>
      </c>
      <c r="H46" s="18" t="n"/>
      <c r="I46" s="19" t="n"/>
    </row>
    <row r="47">
      <c r="A47" s="17" t="n"/>
      <c r="B47" s="18" t="n"/>
      <c r="C47" s="19" t="n"/>
      <c r="D47" s="18" t="n"/>
      <c r="E47" s="18" t="n"/>
      <c r="F47" s="10">
        <f>IF(C47="","",IF(C47&gt;=9,"Promotor",IF(C47&gt;=7,"Pasivo","Detractor")))</f>
        <v/>
      </c>
      <c r="G47" s="20">
        <f>IF(F47="","",IF(F47="Promotor","Pedir reseña o recomendación",IF(F47="Pasivo","Preguntar qué le falta para un 10","Llamada de una persona en menos de 48 horas")))</f>
        <v/>
      </c>
      <c r="H47" s="18" t="n"/>
      <c r="I47" s="19" t="n"/>
    </row>
    <row r="48">
      <c r="A48" s="17" t="n"/>
      <c r="B48" s="18" t="n"/>
      <c r="C48" s="19" t="n"/>
      <c r="D48" s="18" t="n"/>
      <c r="E48" s="18" t="n"/>
      <c r="F48" s="10">
        <f>IF(C48="","",IF(C48&gt;=9,"Promotor",IF(C48&gt;=7,"Pasivo","Detractor")))</f>
        <v/>
      </c>
      <c r="G48" s="20">
        <f>IF(F48="","",IF(F48="Promotor","Pedir reseña o recomendación",IF(F48="Pasivo","Preguntar qué le falta para un 10","Llamada de una persona en menos de 48 horas")))</f>
        <v/>
      </c>
      <c r="H48" s="18" t="n"/>
      <c r="I48" s="19" t="n"/>
    </row>
    <row r="49">
      <c r="A49" s="17" t="n"/>
      <c r="B49" s="18" t="n"/>
      <c r="C49" s="19" t="n"/>
      <c r="D49" s="18" t="n"/>
      <c r="E49" s="18" t="n"/>
      <c r="F49" s="10">
        <f>IF(C49="","",IF(C49&gt;=9,"Promotor",IF(C49&gt;=7,"Pasivo","Detractor")))</f>
        <v/>
      </c>
      <c r="G49" s="20">
        <f>IF(F49="","",IF(F49="Promotor","Pedir reseña o recomendación",IF(F49="Pasivo","Preguntar qué le falta para un 10","Llamada de una persona en menos de 48 horas")))</f>
        <v/>
      </c>
      <c r="H49" s="18" t="n"/>
      <c r="I49" s="19" t="n"/>
    </row>
    <row r="50">
      <c r="A50" s="17" t="n"/>
      <c r="B50" s="18" t="n"/>
      <c r="C50" s="19" t="n"/>
      <c r="D50" s="18" t="n"/>
      <c r="E50" s="18" t="n"/>
      <c r="F50" s="10">
        <f>IF(C50="","",IF(C50&gt;=9,"Promotor",IF(C50&gt;=7,"Pasivo","Detractor")))</f>
        <v/>
      </c>
      <c r="G50" s="20">
        <f>IF(F50="","",IF(F50="Promotor","Pedir reseña o recomendación",IF(F50="Pasivo","Preguntar qué le falta para un 10","Llamada de una persona en menos de 48 horas")))</f>
        <v/>
      </c>
      <c r="H50" s="18" t="n"/>
      <c r="I50" s="19" t="n"/>
    </row>
    <row r="51">
      <c r="A51" s="17" t="n"/>
      <c r="B51" s="18" t="n"/>
      <c r="C51" s="19" t="n"/>
      <c r="D51" s="18" t="n"/>
      <c r="E51" s="18" t="n"/>
      <c r="F51" s="10">
        <f>IF(C51="","",IF(C51&gt;=9,"Promotor",IF(C51&gt;=7,"Pasivo","Detractor")))</f>
        <v/>
      </c>
      <c r="G51" s="20">
        <f>IF(F51="","",IF(F51="Promotor","Pedir reseña o recomendación",IF(F51="Pasivo","Preguntar qué le falta para un 10","Llamada de una persona en menos de 48 horas")))</f>
        <v/>
      </c>
      <c r="H51" s="18" t="n"/>
      <c r="I51" s="19" t="n"/>
    </row>
    <row r="52">
      <c r="A52" s="17" t="n"/>
      <c r="B52" s="18" t="n"/>
      <c r="C52" s="19" t="n"/>
      <c r="D52" s="18" t="n"/>
      <c r="E52" s="18" t="n"/>
      <c r="F52" s="10">
        <f>IF(C52="","",IF(C52&gt;=9,"Promotor",IF(C52&gt;=7,"Pasivo","Detractor")))</f>
        <v/>
      </c>
      <c r="G52" s="20">
        <f>IF(F52="","",IF(F52="Promotor","Pedir reseña o recomendación",IF(F52="Pasivo","Preguntar qué le falta para un 10","Llamada de una persona en menos de 48 horas")))</f>
        <v/>
      </c>
      <c r="H52" s="18" t="n"/>
      <c r="I52" s="19" t="n"/>
    </row>
    <row r="53">
      <c r="A53" s="17" t="n"/>
      <c r="B53" s="18" t="n"/>
      <c r="C53" s="19" t="n"/>
      <c r="D53" s="18" t="n"/>
      <c r="E53" s="18" t="n"/>
      <c r="F53" s="10">
        <f>IF(C53="","",IF(C53&gt;=9,"Promotor",IF(C53&gt;=7,"Pasivo","Detractor")))</f>
        <v/>
      </c>
      <c r="G53" s="20">
        <f>IF(F53="","",IF(F53="Promotor","Pedir reseña o recomendación",IF(F53="Pasivo","Preguntar qué le falta para un 10","Llamada de una persona en menos de 48 horas")))</f>
        <v/>
      </c>
      <c r="H53" s="18" t="n"/>
      <c r="I53" s="19" t="n"/>
    </row>
    <row r="54">
      <c r="A54" s="17" t="n"/>
      <c r="B54" s="18" t="n"/>
      <c r="C54" s="19" t="n"/>
      <c r="D54" s="18" t="n"/>
      <c r="E54" s="18" t="n"/>
      <c r="F54" s="10">
        <f>IF(C54="","",IF(C54&gt;=9,"Promotor",IF(C54&gt;=7,"Pasivo","Detractor")))</f>
        <v/>
      </c>
      <c r="G54" s="20">
        <f>IF(F54="","",IF(F54="Promotor","Pedir reseña o recomendación",IF(F54="Pasivo","Preguntar qué le falta para un 10","Llamada de una persona en menos de 48 horas")))</f>
        <v/>
      </c>
      <c r="H54" s="18" t="n"/>
      <c r="I54" s="19" t="n"/>
    </row>
    <row r="55">
      <c r="A55" s="17" t="n"/>
      <c r="B55" s="18" t="n"/>
      <c r="C55" s="19" t="n"/>
      <c r="D55" s="18" t="n"/>
      <c r="E55" s="18" t="n"/>
      <c r="F55" s="10">
        <f>IF(C55="","",IF(C55&gt;=9,"Promotor",IF(C55&gt;=7,"Pasivo","Detractor")))</f>
        <v/>
      </c>
      <c r="G55" s="20">
        <f>IF(F55="","",IF(F55="Promotor","Pedir reseña o recomendación",IF(F55="Pasivo","Preguntar qué le falta para un 10","Llamada de una persona en menos de 48 horas")))</f>
        <v/>
      </c>
      <c r="H55" s="18" t="n"/>
      <c r="I55" s="19" t="n"/>
    </row>
    <row r="56">
      <c r="A56" s="17" t="n"/>
      <c r="B56" s="18" t="n"/>
      <c r="C56" s="19" t="n"/>
      <c r="D56" s="18" t="n"/>
      <c r="E56" s="18" t="n"/>
      <c r="F56" s="10">
        <f>IF(C56="","",IF(C56&gt;=9,"Promotor",IF(C56&gt;=7,"Pasivo","Detractor")))</f>
        <v/>
      </c>
      <c r="G56" s="20">
        <f>IF(F56="","",IF(F56="Promotor","Pedir reseña o recomendación",IF(F56="Pasivo","Preguntar qué le falta para un 10","Llamada de una persona en menos de 48 horas")))</f>
        <v/>
      </c>
      <c r="H56" s="18" t="n"/>
      <c r="I56" s="19" t="n"/>
    </row>
    <row r="57">
      <c r="A57" s="17" t="n"/>
      <c r="B57" s="18" t="n"/>
      <c r="C57" s="19" t="n"/>
      <c r="D57" s="18" t="n"/>
      <c r="E57" s="18" t="n"/>
      <c r="F57" s="10">
        <f>IF(C57="","",IF(C57&gt;=9,"Promotor",IF(C57&gt;=7,"Pasivo","Detractor")))</f>
        <v/>
      </c>
      <c r="G57" s="20">
        <f>IF(F57="","",IF(F57="Promotor","Pedir reseña o recomendación",IF(F57="Pasivo","Preguntar qué le falta para un 10","Llamada de una persona en menos de 48 horas")))</f>
        <v/>
      </c>
      <c r="H57" s="18" t="n"/>
      <c r="I57" s="19" t="n"/>
    </row>
    <row r="58">
      <c r="A58" s="17" t="n"/>
      <c r="B58" s="18" t="n"/>
      <c r="C58" s="19" t="n"/>
      <c r="D58" s="18" t="n"/>
      <c r="E58" s="18" t="n"/>
      <c r="F58" s="10">
        <f>IF(C58="","",IF(C58&gt;=9,"Promotor",IF(C58&gt;=7,"Pasivo","Detractor")))</f>
        <v/>
      </c>
      <c r="G58" s="20">
        <f>IF(F58="","",IF(F58="Promotor","Pedir reseña o recomendación",IF(F58="Pasivo","Preguntar qué le falta para un 10","Llamada de una persona en menos de 48 horas")))</f>
        <v/>
      </c>
      <c r="H58" s="18" t="n"/>
      <c r="I58" s="19" t="n"/>
    </row>
    <row r="59">
      <c r="A59" s="17" t="n"/>
      <c r="B59" s="18" t="n"/>
      <c r="C59" s="19" t="n"/>
      <c r="D59" s="18" t="n"/>
      <c r="E59" s="18" t="n"/>
      <c r="F59" s="10">
        <f>IF(C59="","",IF(C59&gt;=9,"Promotor",IF(C59&gt;=7,"Pasivo","Detractor")))</f>
        <v/>
      </c>
      <c r="G59" s="20">
        <f>IF(F59="","",IF(F59="Promotor","Pedir reseña o recomendación",IF(F59="Pasivo","Preguntar qué le falta para un 10","Llamada de una persona en menos de 48 horas")))</f>
        <v/>
      </c>
      <c r="H59" s="18" t="n"/>
      <c r="I59" s="19" t="n"/>
    </row>
    <row r="60">
      <c r="A60" s="17" t="n"/>
      <c r="B60" s="18" t="n"/>
      <c r="C60" s="19" t="n"/>
      <c r="D60" s="18" t="n"/>
      <c r="E60" s="18" t="n"/>
      <c r="F60" s="10">
        <f>IF(C60="","",IF(C60&gt;=9,"Promotor",IF(C60&gt;=7,"Pasivo","Detractor")))</f>
        <v/>
      </c>
      <c r="G60" s="20">
        <f>IF(F60="","",IF(F60="Promotor","Pedir reseña o recomendación",IF(F60="Pasivo","Preguntar qué le falta para un 10","Llamada de una persona en menos de 48 horas")))</f>
        <v/>
      </c>
      <c r="H60" s="18" t="n"/>
      <c r="I60" s="19" t="n"/>
    </row>
    <row r="61">
      <c r="A61" s="17" t="n"/>
      <c r="B61" s="18" t="n"/>
      <c r="C61" s="19" t="n"/>
      <c r="D61" s="18" t="n"/>
      <c r="E61" s="18" t="n"/>
      <c r="F61" s="10">
        <f>IF(C61="","",IF(C61&gt;=9,"Promotor",IF(C61&gt;=7,"Pasivo","Detractor")))</f>
        <v/>
      </c>
      <c r="G61" s="20">
        <f>IF(F61="","",IF(F61="Promotor","Pedir reseña o recomendación",IF(F61="Pasivo","Preguntar qué le falta para un 10","Llamada de una persona en menos de 48 horas")))</f>
        <v/>
      </c>
      <c r="H61" s="18" t="n"/>
      <c r="I61" s="19" t="n"/>
    </row>
    <row r="62">
      <c r="A62" s="17" t="n"/>
      <c r="B62" s="18" t="n"/>
      <c r="C62" s="19" t="n"/>
      <c r="D62" s="18" t="n"/>
      <c r="E62" s="18" t="n"/>
      <c r="F62" s="10">
        <f>IF(C62="","",IF(C62&gt;=9,"Promotor",IF(C62&gt;=7,"Pasivo","Detractor")))</f>
        <v/>
      </c>
      <c r="G62" s="20">
        <f>IF(F62="","",IF(F62="Promotor","Pedir reseña o recomendación",IF(F62="Pasivo","Preguntar qué le falta para un 10","Llamada de una persona en menos de 48 horas")))</f>
        <v/>
      </c>
      <c r="H62" s="18" t="n"/>
      <c r="I62" s="19" t="n"/>
    </row>
    <row r="63">
      <c r="A63" s="17" t="n"/>
      <c r="B63" s="18" t="n"/>
      <c r="C63" s="19" t="n"/>
      <c r="D63" s="18" t="n"/>
      <c r="E63" s="18" t="n"/>
      <c r="F63" s="10">
        <f>IF(C63="","",IF(C63&gt;=9,"Promotor",IF(C63&gt;=7,"Pasivo","Detractor")))</f>
        <v/>
      </c>
      <c r="G63" s="20">
        <f>IF(F63="","",IF(F63="Promotor","Pedir reseña o recomendación",IF(F63="Pasivo","Preguntar qué le falta para un 10","Llamada de una persona en menos de 48 horas")))</f>
        <v/>
      </c>
      <c r="H63" s="18" t="n"/>
      <c r="I63" s="19" t="n"/>
    </row>
    <row r="64">
      <c r="A64" s="17" t="n"/>
      <c r="B64" s="18" t="n"/>
      <c r="C64" s="19" t="n"/>
      <c r="D64" s="18" t="n"/>
      <c r="E64" s="18" t="n"/>
      <c r="F64" s="10">
        <f>IF(C64="","",IF(C64&gt;=9,"Promotor",IF(C64&gt;=7,"Pasivo","Detractor")))</f>
        <v/>
      </c>
      <c r="G64" s="20">
        <f>IF(F64="","",IF(F64="Promotor","Pedir reseña o recomendación",IF(F64="Pasivo","Preguntar qué le falta para un 10","Llamada de una persona en menos de 48 horas")))</f>
        <v/>
      </c>
      <c r="H64" s="18" t="n"/>
      <c r="I64" s="19" t="n"/>
    </row>
    <row r="65">
      <c r="A65" s="17" t="n"/>
      <c r="B65" s="18" t="n"/>
      <c r="C65" s="19" t="n"/>
      <c r="D65" s="18" t="n"/>
      <c r="E65" s="18" t="n"/>
      <c r="F65" s="10">
        <f>IF(C65="","",IF(C65&gt;=9,"Promotor",IF(C65&gt;=7,"Pasivo","Detractor")))</f>
        <v/>
      </c>
      <c r="G65" s="20">
        <f>IF(F65="","",IF(F65="Promotor","Pedir reseña o recomendación",IF(F65="Pasivo","Preguntar qué le falta para un 10","Llamada de una persona en menos de 48 horas")))</f>
        <v/>
      </c>
      <c r="H65" s="18" t="n"/>
      <c r="I65" s="19" t="n"/>
    </row>
    <row r="66">
      <c r="A66" s="17" t="n"/>
      <c r="B66" s="18" t="n"/>
      <c r="C66" s="19" t="n"/>
      <c r="D66" s="18" t="n"/>
      <c r="E66" s="18" t="n"/>
      <c r="F66" s="10">
        <f>IF(C66="","",IF(C66&gt;=9,"Promotor",IF(C66&gt;=7,"Pasivo","Detractor")))</f>
        <v/>
      </c>
      <c r="G66" s="20">
        <f>IF(F66="","",IF(F66="Promotor","Pedir reseña o recomendación",IF(F66="Pasivo","Preguntar qué le falta para un 10","Llamada de una persona en menos de 48 horas")))</f>
        <v/>
      </c>
      <c r="H66" s="18" t="n"/>
      <c r="I66" s="19" t="n"/>
    </row>
    <row r="67">
      <c r="A67" s="17" t="n"/>
      <c r="B67" s="18" t="n"/>
      <c r="C67" s="19" t="n"/>
      <c r="D67" s="18" t="n"/>
      <c r="E67" s="18" t="n"/>
      <c r="F67" s="10">
        <f>IF(C67="","",IF(C67&gt;=9,"Promotor",IF(C67&gt;=7,"Pasivo","Detractor")))</f>
        <v/>
      </c>
      <c r="G67" s="20">
        <f>IF(F67="","",IF(F67="Promotor","Pedir reseña o recomendación",IF(F67="Pasivo","Preguntar qué le falta para un 10","Llamada de una persona en menos de 48 horas")))</f>
        <v/>
      </c>
      <c r="H67" s="18" t="n"/>
      <c r="I67" s="19" t="n"/>
    </row>
    <row r="68">
      <c r="A68" s="17" t="n"/>
      <c r="B68" s="18" t="n"/>
      <c r="C68" s="19" t="n"/>
      <c r="D68" s="18" t="n"/>
      <c r="E68" s="18" t="n"/>
      <c r="F68" s="10">
        <f>IF(C68="","",IF(C68&gt;=9,"Promotor",IF(C68&gt;=7,"Pasivo","Detractor")))</f>
        <v/>
      </c>
      <c r="G68" s="20">
        <f>IF(F68="","",IF(F68="Promotor","Pedir reseña o recomendación",IF(F68="Pasivo","Preguntar qué le falta para un 10","Llamada de una persona en menos de 48 horas")))</f>
        <v/>
      </c>
      <c r="H68" s="18" t="n"/>
      <c r="I68" s="19" t="n"/>
    </row>
    <row r="69">
      <c r="A69" s="17" t="n"/>
      <c r="B69" s="18" t="n"/>
      <c r="C69" s="19" t="n"/>
      <c r="D69" s="18" t="n"/>
      <c r="E69" s="18" t="n"/>
      <c r="F69" s="10">
        <f>IF(C69="","",IF(C69&gt;=9,"Promotor",IF(C69&gt;=7,"Pasivo","Detractor")))</f>
        <v/>
      </c>
      <c r="G69" s="20">
        <f>IF(F69="","",IF(F69="Promotor","Pedir reseña o recomendación",IF(F69="Pasivo","Preguntar qué le falta para un 10","Llamada de una persona en menos de 48 horas")))</f>
        <v/>
      </c>
      <c r="H69" s="18" t="n"/>
      <c r="I69" s="19" t="n"/>
    </row>
    <row r="70">
      <c r="A70" s="17" t="n"/>
      <c r="B70" s="18" t="n"/>
      <c r="C70" s="19" t="n"/>
      <c r="D70" s="18" t="n"/>
      <c r="E70" s="18" t="n"/>
      <c r="F70" s="10">
        <f>IF(C70="","",IF(C70&gt;=9,"Promotor",IF(C70&gt;=7,"Pasivo","Detractor")))</f>
        <v/>
      </c>
      <c r="G70" s="20">
        <f>IF(F70="","",IF(F70="Promotor","Pedir reseña o recomendación",IF(F70="Pasivo","Preguntar qué le falta para un 10","Llamada de una persona en menos de 48 horas")))</f>
        <v/>
      </c>
      <c r="H70" s="18" t="n"/>
      <c r="I70" s="19" t="n"/>
    </row>
    <row r="71">
      <c r="A71" s="17" t="n"/>
      <c r="B71" s="18" t="n"/>
      <c r="C71" s="19" t="n"/>
      <c r="D71" s="18" t="n"/>
      <c r="E71" s="18" t="n"/>
      <c r="F71" s="10">
        <f>IF(C71="","",IF(C71&gt;=9,"Promotor",IF(C71&gt;=7,"Pasivo","Detractor")))</f>
        <v/>
      </c>
      <c r="G71" s="20">
        <f>IF(F71="","",IF(F71="Promotor","Pedir reseña o recomendación",IF(F71="Pasivo","Preguntar qué le falta para un 10","Llamada de una persona en menos de 48 horas")))</f>
        <v/>
      </c>
      <c r="H71" s="18" t="n"/>
      <c r="I71" s="19" t="n"/>
    </row>
    <row r="72">
      <c r="A72" s="17" t="n"/>
      <c r="B72" s="18" t="n"/>
      <c r="C72" s="19" t="n"/>
      <c r="D72" s="18" t="n"/>
      <c r="E72" s="18" t="n"/>
      <c r="F72" s="10">
        <f>IF(C72="","",IF(C72&gt;=9,"Promotor",IF(C72&gt;=7,"Pasivo","Detractor")))</f>
        <v/>
      </c>
      <c r="G72" s="20">
        <f>IF(F72="","",IF(F72="Promotor","Pedir reseña o recomendación",IF(F72="Pasivo","Preguntar qué le falta para un 10","Llamada de una persona en menos de 48 horas")))</f>
        <v/>
      </c>
      <c r="H72" s="18" t="n"/>
      <c r="I72" s="19" t="n"/>
    </row>
    <row r="73">
      <c r="A73" s="17" t="n"/>
      <c r="B73" s="18" t="n"/>
      <c r="C73" s="19" t="n"/>
      <c r="D73" s="18" t="n"/>
      <c r="E73" s="18" t="n"/>
      <c r="F73" s="10">
        <f>IF(C73="","",IF(C73&gt;=9,"Promotor",IF(C73&gt;=7,"Pasivo","Detractor")))</f>
        <v/>
      </c>
      <c r="G73" s="20">
        <f>IF(F73="","",IF(F73="Promotor","Pedir reseña o recomendación",IF(F73="Pasivo","Preguntar qué le falta para un 10","Llamada de una persona en menos de 48 horas")))</f>
        <v/>
      </c>
      <c r="H73" s="18" t="n"/>
      <c r="I73" s="19" t="n"/>
    </row>
    <row r="74">
      <c r="A74" s="17" t="n"/>
      <c r="B74" s="18" t="n"/>
      <c r="C74" s="19" t="n"/>
      <c r="D74" s="18" t="n"/>
      <c r="E74" s="18" t="n"/>
      <c r="F74" s="10">
        <f>IF(C74="","",IF(C74&gt;=9,"Promotor",IF(C74&gt;=7,"Pasivo","Detractor")))</f>
        <v/>
      </c>
      <c r="G74" s="20">
        <f>IF(F74="","",IF(F74="Promotor","Pedir reseña o recomendación",IF(F74="Pasivo","Preguntar qué le falta para un 10","Llamada de una persona en menos de 48 horas")))</f>
        <v/>
      </c>
      <c r="H74" s="18" t="n"/>
      <c r="I74" s="19" t="n"/>
    </row>
    <row r="75">
      <c r="A75" s="17" t="n"/>
      <c r="B75" s="18" t="n"/>
      <c r="C75" s="19" t="n"/>
      <c r="D75" s="18" t="n"/>
      <c r="E75" s="18" t="n"/>
      <c r="F75" s="10">
        <f>IF(C75="","",IF(C75&gt;=9,"Promotor",IF(C75&gt;=7,"Pasivo","Detractor")))</f>
        <v/>
      </c>
      <c r="G75" s="20">
        <f>IF(F75="","",IF(F75="Promotor","Pedir reseña o recomendación",IF(F75="Pasivo","Preguntar qué le falta para un 10","Llamada de una persona en menos de 48 horas")))</f>
        <v/>
      </c>
      <c r="H75" s="18" t="n"/>
      <c r="I75" s="19" t="n"/>
    </row>
    <row r="76">
      <c r="A76" s="17" t="n"/>
      <c r="B76" s="18" t="n"/>
      <c r="C76" s="19" t="n"/>
      <c r="D76" s="18" t="n"/>
      <c r="E76" s="18" t="n"/>
      <c r="F76" s="10">
        <f>IF(C76="","",IF(C76&gt;=9,"Promotor",IF(C76&gt;=7,"Pasivo","Detractor")))</f>
        <v/>
      </c>
      <c r="G76" s="20">
        <f>IF(F76="","",IF(F76="Promotor","Pedir reseña o recomendación",IF(F76="Pasivo","Preguntar qué le falta para un 10","Llamada de una persona en menos de 48 horas")))</f>
        <v/>
      </c>
      <c r="H76" s="18" t="n"/>
      <c r="I76" s="19" t="n"/>
    </row>
    <row r="77">
      <c r="A77" s="17" t="n"/>
      <c r="B77" s="18" t="n"/>
      <c r="C77" s="19" t="n"/>
      <c r="D77" s="18" t="n"/>
      <c r="E77" s="18" t="n"/>
      <c r="F77" s="10">
        <f>IF(C77="","",IF(C77&gt;=9,"Promotor",IF(C77&gt;=7,"Pasivo","Detractor")))</f>
        <v/>
      </c>
      <c r="G77" s="20">
        <f>IF(F77="","",IF(F77="Promotor","Pedir reseña o recomendación",IF(F77="Pasivo","Preguntar qué le falta para un 10","Llamada de una persona en menos de 48 horas")))</f>
        <v/>
      </c>
      <c r="H77" s="18" t="n"/>
      <c r="I77" s="19" t="n"/>
    </row>
    <row r="78">
      <c r="A78" s="17" t="n"/>
      <c r="B78" s="18" t="n"/>
      <c r="C78" s="19" t="n"/>
      <c r="D78" s="18" t="n"/>
      <c r="E78" s="18" t="n"/>
      <c r="F78" s="10">
        <f>IF(C78="","",IF(C78&gt;=9,"Promotor",IF(C78&gt;=7,"Pasivo","Detractor")))</f>
        <v/>
      </c>
      <c r="G78" s="20">
        <f>IF(F78="","",IF(F78="Promotor","Pedir reseña o recomendación",IF(F78="Pasivo","Preguntar qué le falta para un 10","Llamada de una persona en menos de 48 horas")))</f>
        <v/>
      </c>
      <c r="H78" s="18" t="n"/>
      <c r="I78" s="19" t="n"/>
    </row>
    <row r="79">
      <c r="A79" s="17" t="n"/>
      <c r="B79" s="18" t="n"/>
      <c r="C79" s="19" t="n"/>
      <c r="D79" s="18" t="n"/>
      <c r="E79" s="18" t="n"/>
      <c r="F79" s="10">
        <f>IF(C79="","",IF(C79&gt;=9,"Promotor",IF(C79&gt;=7,"Pasivo","Detractor")))</f>
        <v/>
      </c>
      <c r="G79" s="20">
        <f>IF(F79="","",IF(F79="Promotor","Pedir reseña o recomendación",IF(F79="Pasivo","Preguntar qué le falta para un 10","Llamada de una persona en menos de 48 horas")))</f>
        <v/>
      </c>
      <c r="H79" s="18" t="n"/>
      <c r="I79" s="19" t="n"/>
    </row>
    <row r="80">
      <c r="A80" s="17" t="n"/>
      <c r="B80" s="18" t="n"/>
      <c r="C80" s="19" t="n"/>
      <c r="D80" s="18" t="n"/>
      <c r="E80" s="18" t="n"/>
      <c r="F80" s="10">
        <f>IF(C80="","",IF(C80&gt;=9,"Promotor",IF(C80&gt;=7,"Pasivo","Detractor")))</f>
        <v/>
      </c>
      <c r="G80" s="20">
        <f>IF(F80="","",IF(F80="Promotor","Pedir reseña o recomendación",IF(F80="Pasivo","Preguntar qué le falta para un 10","Llamada de una persona en menos de 48 horas")))</f>
        <v/>
      </c>
      <c r="H80" s="18" t="n"/>
      <c r="I80" s="19" t="n"/>
    </row>
    <row r="81">
      <c r="A81" s="17" t="n"/>
      <c r="B81" s="18" t="n"/>
      <c r="C81" s="19" t="n"/>
      <c r="D81" s="18" t="n"/>
      <c r="E81" s="18" t="n"/>
      <c r="F81" s="10">
        <f>IF(C81="","",IF(C81&gt;=9,"Promotor",IF(C81&gt;=7,"Pasivo","Detractor")))</f>
        <v/>
      </c>
      <c r="G81" s="20">
        <f>IF(F81="","",IF(F81="Promotor","Pedir reseña o recomendación",IF(F81="Pasivo","Preguntar qué le falta para un 10","Llamada de una persona en menos de 48 horas")))</f>
        <v/>
      </c>
      <c r="H81" s="18" t="n"/>
      <c r="I81" s="19" t="n"/>
    </row>
    <row r="82">
      <c r="A82" s="17" t="n"/>
      <c r="B82" s="18" t="n"/>
      <c r="C82" s="19" t="n"/>
      <c r="D82" s="18" t="n"/>
      <c r="E82" s="18" t="n"/>
      <c r="F82" s="10">
        <f>IF(C82="","",IF(C82&gt;=9,"Promotor",IF(C82&gt;=7,"Pasivo","Detractor")))</f>
        <v/>
      </c>
      <c r="G82" s="20">
        <f>IF(F82="","",IF(F82="Promotor","Pedir reseña o recomendación",IF(F82="Pasivo","Preguntar qué le falta para un 10","Llamada de una persona en menos de 48 horas")))</f>
        <v/>
      </c>
      <c r="H82" s="18" t="n"/>
      <c r="I82" s="19" t="n"/>
    </row>
    <row r="83">
      <c r="A83" s="17" t="n"/>
      <c r="B83" s="18" t="n"/>
      <c r="C83" s="19" t="n"/>
      <c r="D83" s="18" t="n"/>
      <c r="E83" s="18" t="n"/>
      <c r="F83" s="10">
        <f>IF(C83="","",IF(C83&gt;=9,"Promotor",IF(C83&gt;=7,"Pasivo","Detractor")))</f>
        <v/>
      </c>
      <c r="G83" s="20">
        <f>IF(F83="","",IF(F83="Promotor","Pedir reseña o recomendación",IF(F83="Pasivo","Preguntar qué le falta para un 10","Llamada de una persona en menos de 48 horas")))</f>
        <v/>
      </c>
      <c r="H83" s="18" t="n"/>
      <c r="I83" s="19" t="n"/>
    </row>
    <row r="84">
      <c r="A84" s="17" t="n"/>
      <c r="B84" s="18" t="n"/>
      <c r="C84" s="19" t="n"/>
      <c r="D84" s="18" t="n"/>
      <c r="E84" s="18" t="n"/>
      <c r="F84" s="10">
        <f>IF(C84="","",IF(C84&gt;=9,"Promotor",IF(C84&gt;=7,"Pasivo","Detractor")))</f>
        <v/>
      </c>
      <c r="G84" s="20">
        <f>IF(F84="","",IF(F84="Promotor","Pedir reseña o recomendación",IF(F84="Pasivo","Preguntar qué le falta para un 10","Llamada de una persona en menos de 48 horas")))</f>
        <v/>
      </c>
      <c r="H84" s="18" t="n"/>
      <c r="I84" s="19" t="n"/>
    </row>
    <row r="85">
      <c r="A85" s="17" t="n"/>
      <c r="B85" s="18" t="n"/>
      <c r="C85" s="19" t="n"/>
      <c r="D85" s="18" t="n"/>
      <c r="E85" s="18" t="n"/>
      <c r="F85" s="10">
        <f>IF(C85="","",IF(C85&gt;=9,"Promotor",IF(C85&gt;=7,"Pasivo","Detractor")))</f>
        <v/>
      </c>
      <c r="G85" s="20">
        <f>IF(F85="","",IF(F85="Promotor","Pedir reseña o recomendación",IF(F85="Pasivo","Preguntar qué le falta para un 10","Llamada de una persona en menos de 48 horas")))</f>
        <v/>
      </c>
      <c r="H85" s="18" t="n"/>
      <c r="I85" s="19" t="n"/>
    </row>
    <row r="86">
      <c r="A86" s="17" t="n"/>
      <c r="B86" s="18" t="n"/>
      <c r="C86" s="19" t="n"/>
      <c r="D86" s="18" t="n"/>
      <c r="E86" s="18" t="n"/>
      <c r="F86" s="10">
        <f>IF(C86="","",IF(C86&gt;=9,"Promotor",IF(C86&gt;=7,"Pasivo","Detractor")))</f>
        <v/>
      </c>
      <c r="G86" s="20">
        <f>IF(F86="","",IF(F86="Promotor","Pedir reseña o recomendación",IF(F86="Pasivo","Preguntar qué le falta para un 10","Llamada de una persona en menos de 48 horas")))</f>
        <v/>
      </c>
      <c r="H86" s="18" t="n"/>
      <c r="I86" s="19" t="n"/>
    </row>
    <row r="87">
      <c r="A87" s="17" t="n"/>
      <c r="B87" s="18" t="n"/>
      <c r="C87" s="19" t="n"/>
      <c r="D87" s="18" t="n"/>
      <c r="E87" s="18" t="n"/>
      <c r="F87" s="10">
        <f>IF(C87="","",IF(C87&gt;=9,"Promotor",IF(C87&gt;=7,"Pasivo","Detractor")))</f>
        <v/>
      </c>
      <c r="G87" s="20">
        <f>IF(F87="","",IF(F87="Promotor","Pedir reseña o recomendación",IF(F87="Pasivo","Preguntar qué le falta para un 10","Llamada de una persona en menos de 48 horas")))</f>
        <v/>
      </c>
      <c r="H87" s="18" t="n"/>
      <c r="I87" s="19" t="n"/>
    </row>
    <row r="88">
      <c r="A88" s="17" t="n"/>
      <c r="B88" s="18" t="n"/>
      <c r="C88" s="19" t="n"/>
      <c r="D88" s="18" t="n"/>
      <c r="E88" s="18" t="n"/>
      <c r="F88" s="10">
        <f>IF(C88="","",IF(C88&gt;=9,"Promotor",IF(C88&gt;=7,"Pasivo","Detractor")))</f>
        <v/>
      </c>
      <c r="G88" s="20">
        <f>IF(F88="","",IF(F88="Promotor","Pedir reseña o recomendación",IF(F88="Pasivo","Preguntar qué le falta para un 10","Llamada de una persona en menos de 48 horas")))</f>
        <v/>
      </c>
      <c r="H88" s="18" t="n"/>
      <c r="I88" s="19" t="n"/>
    </row>
    <row r="89">
      <c r="A89" s="17" t="n"/>
      <c r="B89" s="18" t="n"/>
      <c r="C89" s="19" t="n"/>
      <c r="D89" s="18" t="n"/>
      <c r="E89" s="18" t="n"/>
      <c r="F89" s="10">
        <f>IF(C89="","",IF(C89&gt;=9,"Promotor",IF(C89&gt;=7,"Pasivo","Detractor")))</f>
        <v/>
      </c>
      <c r="G89" s="20">
        <f>IF(F89="","",IF(F89="Promotor","Pedir reseña o recomendación",IF(F89="Pasivo","Preguntar qué le falta para un 10","Llamada de una persona en menos de 48 horas")))</f>
        <v/>
      </c>
      <c r="H89" s="18" t="n"/>
      <c r="I89" s="19" t="n"/>
    </row>
    <row r="90">
      <c r="A90" s="17" t="n"/>
      <c r="B90" s="18" t="n"/>
      <c r="C90" s="19" t="n"/>
      <c r="D90" s="18" t="n"/>
      <c r="E90" s="18" t="n"/>
      <c r="F90" s="10">
        <f>IF(C90="","",IF(C90&gt;=9,"Promotor",IF(C90&gt;=7,"Pasivo","Detractor")))</f>
        <v/>
      </c>
      <c r="G90" s="20">
        <f>IF(F90="","",IF(F90="Promotor","Pedir reseña o recomendación",IF(F90="Pasivo","Preguntar qué le falta para un 10","Llamada de una persona en menos de 48 horas")))</f>
        <v/>
      </c>
      <c r="H90" s="18" t="n"/>
      <c r="I90" s="19" t="n"/>
    </row>
    <row r="91">
      <c r="A91" s="17" t="n"/>
      <c r="B91" s="18" t="n"/>
      <c r="C91" s="19" t="n"/>
      <c r="D91" s="18" t="n"/>
      <c r="E91" s="18" t="n"/>
      <c r="F91" s="10">
        <f>IF(C91="","",IF(C91&gt;=9,"Promotor",IF(C91&gt;=7,"Pasivo","Detractor")))</f>
        <v/>
      </c>
      <c r="G91" s="20">
        <f>IF(F91="","",IF(F91="Promotor","Pedir reseña o recomendación",IF(F91="Pasivo","Preguntar qué le falta para un 10","Llamada de una persona en menos de 48 horas")))</f>
        <v/>
      </c>
      <c r="H91" s="18" t="n"/>
      <c r="I91" s="19" t="n"/>
    </row>
    <row r="92">
      <c r="A92" s="17" t="n"/>
      <c r="B92" s="18" t="n"/>
      <c r="C92" s="19" t="n"/>
      <c r="D92" s="18" t="n"/>
      <c r="E92" s="18" t="n"/>
      <c r="F92" s="10">
        <f>IF(C92="","",IF(C92&gt;=9,"Promotor",IF(C92&gt;=7,"Pasivo","Detractor")))</f>
        <v/>
      </c>
      <c r="G92" s="20">
        <f>IF(F92="","",IF(F92="Promotor","Pedir reseña o recomendación",IF(F92="Pasivo","Preguntar qué le falta para un 10","Llamada de una persona en menos de 48 horas")))</f>
        <v/>
      </c>
      <c r="H92" s="18" t="n"/>
      <c r="I92" s="19" t="n"/>
    </row>
    <row r="93">
      <c r="A93" s="17" t="n"/>
      <c r="B93" s="18" t="n"/>
      <c r="C93" s="19" t="n"/>
      <c r="D93" s="18" t="n"/>
      <c r="E93" s="18" t="n"/>
      <c r="F93" s="10">
        <f>IF(C93="","",IF(C93&gt;=9,"Promotor",IF(C93&gt;=7,"Pasivo","Detractor")))</f>
        <v/>
      </c>
      <c r="G93" s="20">
        <f>IF(F93="","",IF(F93="Promotor","Pedir reseña o recomendación",IF(F93="Pasivo","Preguntar qué le falta para un 10","Llamada de una persona en menos de 48 horas")))</f>
        <v/>
      </c>
      <c r="H93" s="18" t="n"/>
      <c r="I93" s="19" t="n"/>
    </row>
    <row r="94">
      <c r="A94" s="17" t="n"/>
      <c r="B94" s="18" t="n"/>
      <c r="C94" s="19" t="n"/>
      <c r="D94" s="18" t="n"/>
      <c r="E94" s="18" t="n"/>
      <c r="F94" s="10">
        <f>IF(C94="","",IF(C94&gt;=9,"Promotor",IF(C94&gt;=7,"Pasivo","Detractor")))</f>
        <v/>
      </c>
      <c r="G94" s="20">
        <f>IF(F94="","",IF(F94="Promotor","Pedir reseña o recomendación",IF(F94="Pasivo","Preguntar qué le falta para un 10","Llamada de una persona en menos de 48 horas")))</f>
        <v/>
      </c>
      <c r="H94" s="18" t="n"/>
      <c r="I94" s="19" t="n"/>
    </row>
    <row r="95">
      <c r="A95" s="17" t="n"/>
      <c r="B95" s="18" t="n"/>
      <c r="C95" s="19" t="n"/>
      <c r="D95" s="18" t="n"/>
      <c r="E95" s="18" t="n"/>
      <c r="F95" s="10">
        <f>IF(C95="","",IF(C95&gt;=9,"Promotor",IF(C95&gt;=7,"Pasivo","Detractor")))</f>
        <v/>
      </c>
      <c r="G95" s="20">
        <f>IF(F95="","",IF(F95="Promotor","Pedir reseña o recomendación",IF(F95="Pasivo","Preguntar qué le falta para un 10","Llamada de una persona en menos de 48 horas")))</f>
        <v/>
      </c>
      <c r="H95" s="18" t="n"/>
      <c r="I95" s="19" t="n"/>
    </row>
    <row r="96">
      <c r="A96" s="17" t="n"/>
      <c r="B96" s="18" t="n"/>
      <c r="C96" s="19" t="n"/>
      <c r="D96" s="18" t="n"/>
      <c r="E96" s="18" t="n"/>
      <c r="F96" s="10">
        <f>IF(C96="","",IF(C96&gt;=9,"Promotor",IF(C96&gt;=7,"Pasivo","Detractor")))</f>
        <v/>
      </c>
      <c r="G96" s="20">
        <f>IF(F96="","",IF(F96="Promotor","Pedir reseña o recomendación",IF(F96="Pasivo","Preguntar qué le falta para un 10","Llamada de una persona en menos de 48 horas")))</f>
        <v/>
      </c>
      <c r="H96" s="18" t="n"/>
      <c r="I96" s="19" t="n"/>
    </row>
    <row r="97">
      <c r="A97" s="17" t="n"/>
      <c r="B97" s="18" t="n"/>
      <c r="C97" s="19" t="n"/>
      <c r="D97" s="18" t="n"/>
      <c r="E97" s="18" t="n"/>
      <c r="F97" s="10">
        <f>IF(C97="","",IF(C97&gt;=9,"Promotor",IF(C97&gt;=7,"Pasivo","Detractor")))</f>
        <v/>
      </c>
      <c r="G97" s="20">
        <f>IF(F97="","",IF(F97="Promotor","Pedir reseña o recomendación",IF(F97="Pasivo","Preguntar qué le falta para un 10","Llamada de una persona en menos de 48 horas")))</f>
        <v/>
      </c>
      <c r="H97" s="18" t="n"/>
      <c r="I97" s="19" t="n"/>
    </row>
    <row r="98">
      <c r="A98" s="17" t="n"/>
      <c r="B98" s="18" t="n"/>
      <c r="C98" s="19" t="n"/>
      <c r="D98" s="18" t="n"/>
      <c r="E98" s="18" t="n"/>
      <c r="F98" s="10">
        <f>IF(C98="","",IF(C98&gt;=9,"Promotor",IF(C98&gt;=7,"Pasivo","Detractor")))</f>
        <v/>
      </c>
      <c r="G98" s="20">
        <f>IF(F98="","",IF(F98="Promotor","Pedir reseña o recomendación",IF(F98="Pasivo","Preguntar qué le falta para un 10","Llamada de una persona en menos de 48 horas")))</f>
        <v/>
      </c>
      <c r="H98" s="18" t="n"/>
      <c r="I98" s="19" t="n"/>
    </row>
    <row r="99">
      <c r="A99" s="17" t="n"/>
      <c r="B99" s="18" t="n"/>
      <c r="C99" s="19" t="n"/>
      <c r="D99" s="18" t="n"/>
      <c r="E99" s="18" t="n"/>
      <c r="F99" s="10">
        <f>IF(C99="","",IF(C99&gt;=9,"Promotor",IF(C99&gt;=7,"Pasivo","Detractor")))</f>
        <v/>
      </c>
      <c r="G99" s="20">
        <f>IF(F99="","",IF(F99="Promotor","Pedir reseña o recomendación",IF(F99="Pasivo","Preguntar qué le falta para un 10","Llamada de una persona en menos de 48 horas")))</f>
        <v/>
      </c>
      <c r="H99" s="18" t="n"/>
      <c r="I99" s="19" t="n"/>
    </row>
    <row r="100">
      <c r="A100" s="17" t="n"/>
      <c r="B100" s="18" t="n"/>
      <c r="C100" s="19" t="n"/>
      <c r="D100" s="18" t="n"/>
      <c r="E100" s="18" t="n"/>
      <c r="F100" s="10">
        <f>IF(C100="","",IF(C100&gt;=9,"Promotor",IF(C100&gt;=7,"Pasivo","Detractor")))</f>
        <v/>
      </c>
      <c r="G100" s="20">
        <f>IF(F100="","",IF(F100="Promotor","Pedir reseña o recomendación",IF(F100="Pasivo","Preguntar qué le falta para un 10","Llamada de una persona en menos de 48 horas")))</f>
        <v/>
      </c>
      <c r="H100" s="18" t="n"/>
      <c r="I100" s="19" t="n"/>
    </row>
    <row r="101">
      <c r="A101" s="17" t="n"/>
      <c r="B101" s="18" t="n"/>
      <c r="C101" s="19" t="n"/>
      <c r="D101" s="18" t="n"/>
      <c r="E101" s="18" t="n"/>
      <c r="F101" s="10">
        <f>IF(C101="","",IF(C101&gt;=9,"Promotor",IF(C101&gt;=7,"Pasivo","Detractor")))</f>
        <v/>
      </c>
      <c r="G101" s="20">
        <f>IF(F101="","",IF(F101="Promotor","Pedir reseña o recomendación",IF(F101="Pasivo","Preguntar qué le falta para un 10","Llamada de una persona en menos de 48 horas")))</f>
        <v/>
      </c>
      <c r="H101" s="18" t="n"/>
      <c r="I101" s="19" t="n"/>
    </row>
    <row r="102">
      <c r="A102" s="17" t="n"/>
      <c r="B102" s="18" t="n"/>
      <c r="C102" s="19" t="n"/>
      <c r="D102" s="18" t="n"/>
      <c r="E102" s="18" t="n"/>
      <c r="F102" s="10">
        <f>IF(C102="","",IF(C102&gt;=9,"Promotor",IF(C102&gt;=7,"Pasivo","Detractor")))</f>
        <v/>
      </c>
      <c r="G102" s="20">
        <f>IF(F102="","",IF(F102="Promotor","Pedir reseña o recomendación",IF(F102="Pasivo","Preguntar qué le falta para un 10","Llamada de una persona en menos de 48 horas")))</f>
        <v/>
      </c>
      <c r="H102" s="18" t="n"/>
      <c r="I102" s="19" t="n"/>
    </row>
    <row r="103">
      <c r="A103" s="17" t="n"/>
      <c r="B103" s="18" t="n"/>
      <c r="C103" s="19" t="n"/>
      <c r="D103" s="18" t="n"/>
      <c r="E103" s="18" t="n"/>
      <c r="F103" s="10">
        <f>IF(C103="","",IF(C103&gt;=9,"Promotor",IF(C103&gt;=7,"Pasivo","Detractor")))</f>
        <v/>
      </c>
      <c r="G103" s="20">
        <f>IF(F103="","",IF(F103="Promotor","Pedir reseña o recomendación",IF(F103="Pasivo","Preguntar qué le falta para un 10","Llamada de una persona en menos de 48 horas")))</f>
        <v/>
      </c>
      <c r="H103" s="18" t="n"/>
      <c r="I103" s="19" t="n"/>
    </row>
    <row r="104">
      <c r="A104" s="17" t="n"/>
      <c r="B104" s="18" t="n"/>
      <c r="C104" s="19" t="n"/>
      <c r="D104" s="18" t="n"/>
      <c r="E104" s="18" t="n"/>
      <c r="F104" s="10">
        <f>IF(C104="","",IF(C104&gt;=9,"Promotor",IF(C104&gt;=7,"Pasivo","Detractor")))</f>
        <v/>
      </c>
      <c r="G104" s="20">
        <f>IF(F104="","",IF(F104="Promotor","Pedir reseña o recomendación",IF(F104="Pasivo","Preguntar qué le falta para un 10","Llamada de una persona en menos de 48 horas")))</f>
        <v/>
      </c>
      <c r="H104" s="18" t="n"/>
      <c r="I104" s="19" t="n"/>
    </row>
    <row r="105">
      <c r="A105" s="17" t="n"/>
      <c r="B105" s="18" t="n"/>
      <c r="C105" s="19" t="n"/>
      <c r="D105" s="18" t="n"/>
      <c r="E105" s="18" t="n"/>
      <c r="F105" s="10">
        <f>IF(C105="","",IF(C105&gt;=9,"Promotor",IF(C105&gt;=7,"Pasivo","Detractor")))</f>
        <v/>
      </c>
      <c r="G105" s="20">
        <f>IF(F105="","",IF(F105="Promotor","Pedir reseña o recomendación",IF(F105="Pasivo","Preguntar qué le falta para un 10","Llamada de una persona en menos de 48 horas")))</f>
        <v/>
      </c>
      <c r="H105" s="18" t="n"/>
      <c r="I105" s="19" t="n"/>
    </row>
    <row r="106">
      <c r="A106" s="17" t="n"/>
      <c r="B106" s="18" t="n"/>
      <c r="C106" s="19" t="n"/>
      <c r="D106" s="18" t="n"/>
      <c r="E106" s="18" t="n"/>
      <c r="F106" s="10">
        <f>IF(C106="","",IF(C106&gt;=9,"Promotor",IF(C106&gt;=7,"Pasivo","Detractor")))</f>
        <v/>
      </c>
      <c r="G106" s="20">
        <f>IF(F106="","",IF(F106="Promotor","Pedir reseña o recomendación",IF(F106="Pasivo","Preguntar qué le falta para un 10","Llamada de una persona en menos de 48 horas")))</f>
        <v/>
      </c>
      <c r="H106" s="18" t="n"/>
      <c r="I106" s="19" t="n"/>
    </row>
    <row r="107">
      <c r="A107" s="17" t="n"/>
      <c r="B107" s="18" t="n"/>
      <c r="C107" s="19" t="n"/>
      <c r="D107" s="18" t="n"/>
      <c r="E107" s="18" t="n"/>
      <c r="F107" s="10">
        <f>IF(C107="","",IF(C107&gt;=9,"Promotor",IF(C107&gt;=7,"Pasivo","Detractor")))</f>
        <v/>
      </c>
      <c r="G107" s="20">
        <f>IF(F107="","",IF(F107="Promotor","Pedir reseña o recomendación",IF(F107="Pasivo","Preguntar qué le falta para un 10","Llamada de una persona en menos de 48 horas")))</f>
        <v/>
      </c>
      <c r="H107" s="18" t="n"/>
      <c r="I107" s="19" t="n"/>
    </row>
    <row r="108">
      <c r="A108" s="17" t="n"/>
      <c r="B108" s="18" t="n"/>
      <c r="C108" s="19" t="n"/>
      <c r="D108" s="18" t="n"/>
      <c r="E108" s="18" t="n"/>
      <c r="F108" s="10">
        <f>IF(C108="","",IF(C108&gt;=9,"Promotor",IF(C108&gt;=7,"Pasivo","Detractor")))</f>
        <v/>
      </c>
      <c r="G108" s="20">
        <f>IF(F108="","",IF(F108="Promotor","Pedir reseña o recomendación",IF(F108="Pasivo","Preguntar qué le falta para un 10","Llamada de una persona en menos de 48 horas")))</f>
        <v/>
      </c>
      <c r="H108" s="18" t="n"/>
      <c r="I108" s="19" t="n"/>
    </row>
    <row r="109">
      <c r="A109" s="17" t="n"/>
      <c r="B109" s="18" t="n"/>
      <c r="C109" s="19" t="n"/>
      <c r="D109" s="18" t="n"/>
      <c r="E109" s="18" t="n"/>
      <c r="F109" s="10">
        <f>IF(C109="","",IF(C109&gt;=9,"Promotor",IF(C109&gt;=7,"Pasivo","Detractor")))</f>
        <v/>
      </c>
      <c r="G109" s="20">
        <f>IF(F109="","",IF(F109="Promotor","Pedir reseña o recomendación",IF(F109="Pasivo","Preguntar qué le falta para un 10","Llamada de una persona en menos de 48 horas")))</f>
        <v/>
      </c>
      <c r="H109" s="18" t="n"/>
      <c r="I109" s="19" t="n"/>
    </row>
    <row r="110">
      <c r="A110" s="17" t="n"/>
      <c r="B110" s="18" t="n"/>
      <c r="C110" s="19" t="n"/>
      <c r="D110" s="18" t="n"/>
      <c r="E110" s="18" t="n"/>
      <c r="F110" s="10">
        <f>IF(C110="","",IF(C110&gt;=9,"Promotor",IF(C110&gt;=7,"Pasivo","Detractor")))</f>
        <v/>
      </c>
      <c r="G110" s="20">
        <f>IF(F110="","",IF(F110="Promotor","Pedir reseña o recomendación",IF(F110="Pasivo","Preguntar qué le falta para un 10","Llamada de una persona en menos de 48 horas")))</f>
        <v/>
      </c>
      <c r="H110" s="18" t="n"/>
      <c r="I110" s="19" t="n"/>
    </row>
    <row r="111">
      <c r="A111" s="17" t="n"/>
      <c r="B111" s="18" t="n"/>
      <c r="C111" s="19" t="n"/>
      <c r="D111" s="18" t="n"/>
      <c r="E111" s="18" t="n"/>
      <c r="F111" s="10">
        <f>IF(C111="","",IF(C111&gt;=9,"Promotor",IF(C111&gt;=7,"Pasivo","Detractor")))</f>
        <v/>
      </c>
      <c r="G111" s="20">
        <f>IF(F111="","",IF(F111="Promotor","Pedir reseña o recomendación",IF(F111="Pasivo","Preguntar qué le falta para un 10","Llamada de una persona en menos de 48 horas")))</f>
        <v/>
      </c>
      <c r="H111" s="18" t="n"/>
      <c r="I111" s="19" t="n"/>
    </row>
    <row r="112">
      <c r="A112" s="17" t="n"/>
      <c r="B112" s="18" t="n"/>
      <c r="C112" s="19" t="n"/>
      <c r="D112" s="18" t="n"/>
      <c r="E112" s="18" t="n"/>
      <c r="F112" s="10">
        <f>IF(C112="","",IF(C112&gt;=9,"Promotor",IF(C112&gt;=7,"Pasivo","Detractor")))</f>
        <v/>
      </c>
      <c r="G112" s="20">
        <f>IF(F112="","",IF(F112="Promotor","Pedir reseña o recomendación",IF(F112="Pasivo","Preguntar qué le falta para un 10","Llamada de una persona en menos de 48 horas")))</f>
        <v/>
      </c>
      <c r="H112" s="18" t="n"/>
      <c r="I112" s="19" t="n"/>
    </row>
    <row r="113">
      <c r="A113" s="17" t="n"/>
      <c r="B113" s="18" t="n"/>
      <c r="C113" s="19" t="n"/>
      <c r="D113" s="18" t="n"/>
      <c r="E113" s="18" t="n"/>
      <c r="F113" s="10">
        <f>IF(C113="","",IF(C113&gt;=9,"Promotor",IF(C113&gt;=7,"Pasivo","Detractor")))</f>
        <v/>
      </c>
      <c r="G113" s="20">
        <f>IF(F113="","",IF(F113="Promotor","Pedir reseña o recomendación",IF(F113="Pasivo","Preguntar qué le falta para un 10","Llamada de una persona en menos de 48 horas")))</f>
        <v/>
      </c>
      <c r="H113" s="18" t="n"/>
      <c r="I113" s="19" t="n"/>
    </row>
    <row r="114">
      <c r="A114" s="17" t="n"/>
      <c r="B114" s="18" t="n"/>
      <c r="C114" s="19" t="n"/>
      <c r="D114" s="18" t="n"/>
      <c r="E114" s="18" t="n"/>
      <c r="F114" s="10">
        <f>IF(C114="","",IF(C114&gt;=9,"Promotor",IF(C114&gt;=7,"Pasivo","Detractor")))</f>
        <v/>
      </c>
      <c r="G114" s="20">
        <f>IF(F114="","",IF(F114="Promotor","Pedir reseña o recomendación",IF(F114="Pasivo","Preguntar qué le falta para un 10","Llamada de una persona en menos de 48 horas")))</f>
        <v/>
      </c>
      <c r="H114" s="18" t="n"/>
      <c r="I114" s="19" t="n"/>
    </row>
    <row r="115">
      <c r="A115" s="17" t="n"/>
      <c r="B115" s="18" t="n"/>
      <c r="C115" s="19" t="n"/>
      <c r="D115" s="18" t="n"/>
      <c r="E115" s="18" t="n"/>
      <c r="F115" s="10">
        <f>IF(C115="","",IF(C115&gt;=9,"Promotor",IF(C115&gt;=7,"Pasivo","Detractor")))</f>
        <v/>
      </c>
      <c r="G115" s="20">
        <f>IF(F115="","",IF(F115="Promotor","Pedir reseña o recomendación",IF(F115="Pasivo","Preguntar qué le falta para un 10","Llamada de una persona en menos de 48 horas")))</f>
        <v/>
      </c>
      <c r="H115" s="18" t="n"/>
      <c r="I115" s="19" t="n"/>
    </row>
    <row r="116">
      <c r="A116" s="17" t="n"/>
      <c r="B116" s="18" t="n"/>
      <c r="C116" s="19" t="n"/>
      <c r="D116" s="18" t="n"/>
      <c r="E116" s="18" t="n"/>
      <c r="F116" s="10">
        <f>IF(C116="","",IF(C116&gt;=9,"Promotor",IF(C116&gt;=7,"Pasivo","Detractor")))</f>
        <v/>
      </c>
      <c r="G116" s="20">
        <f>IF(F116="","",IF(F116="Promotor","Pedir reseña o recomendación",IF(F116="Pasivo","Preguntar qué le falta para un 10","Llamada de una persona en menos de 48 horas")))</f>
        <v/>
      </c>
      <c r="H116" s="18" t="n"/>
      <c r="I116" s="19" t="n"/>
    </row>
    <row r="117">
      <c r="A117" s="17" t="n"/>
      <c r="B117" s="18" t="n"/>
      <c r="C117" s="19" t="n"/>
      <c r="D117" s="18" t="n"/>
      <c r="E117" s="18" t="n"/>
      <c r="F117" s="10">
        <f>IF(C117="","",IF(C117&gt;=9,"Promotor",IF(C117&gt;=7,"Pasivo","Detractor")))</f>
        <v/>
      </c>
      <c r="G117" s="20">
        <f>IF(F117="","",IF(F117="Promotor","Pedir reseña o recomendación",IF(F117="Pasivo","Preguntar qué le falta para un 10","Llamada de una persona en menos de 48 horas")))</f>
        <v/>
      </c>
      <c r="H117" s="18" t="n"/>
      <c r="I117" s="19" t="n"/>
    </row>
    <row r="118">
      <c r="A118" s="17" t="n"/>
      <c r="B118" s="18" t="n"/>
      <c r="C118" s="19" t="n"/>
      <c r="D118" s="18" t="n"/>
      <c r="E118" s="18" t="n"/>
      <c r="F118" s="10">
        <f>IF(C118="","",IF(C118&gt;=9,"Promotor",IF(C118&gt;=7,"Pasivo","Detractor")))</f>
        <v/>
      </c>
      <c r="G118" s="20">
        <f>IF(F118="","",IF(F118="Promotor","Pedir reseña o recomendación",IF(F118="Pasivo","Preguntar qué le falta para un 10","Llamada de una persona en menos de 48 horas")))</f>
        <v/>
      </c>
      <c r="H118" s="18" t="n"/>
      <c r="I118" s="19" t="n"/>
    </row>
    <row r="119">
      <c r="A119" s="17" t="n"/>
      <c r="B119" s="18" t="n"/>
      <c r="C119" s="19" t="n"/>
      <c r="D119" s="18" t="n"/>
      <c r="E119" s="18" t="n"/>
      <c r="F119" s="10">
        <f>IF(C119="","",IF(C119&gt;=9,"Promotor",IF(C119&gt;=7,"Pasivo","Detractor")))</f>
        <v/>
      </c>
      <c r="G119" s="20">
        <f>IF(F119="","",IF(F119="Promotor","Pedir reseña o recomendación",IF(F119="Pasivo","Preguntar qué le falta para un 10","Llamada de una persona en menos de 48 horas")))</f>
        <v/>
      </c>
      <c r="H119" s="18" t="n"/>
      <c r="I119" s="19" t="n"/>
    </row>
    <row r="120">
      <c r="A120" s="17" t="n"/>
      <c r="B120" s="18" t="n"/>
      <c r="C120" s="19" t="n"/>
      <c r="D120" s="18" t="n"/>
      <c r="E120" s="18" t="n"/>
      <c r="F120" s="10">
        <f>IF(C120="","",IF(C120&gt;=9,"Promotor",IF(C120&gt;=7,"Pasivo","Detractor")))</f>
        <v/>
      </c>
      <c r="G120" s="20">
        <f>IF(F120="","",IF(F120="Promotor","Pedir reseña o recomendación",IF(F120="Pasivo","Preguntar qué le falta para un 10","Llamada de una persona en menos de 48 horas")))</f>
        <v/>
      </c>
      <c r="H120" s="18" t="n"/>
      <c r="I120" s="19" t="n"/>
    </row>
    <row r="121">
      <c r="A121" s="17" t="n"/>
      <c r="B121" s="18" t="n"/>
      <c r="C121" s="19" t="n"/>
      <c r="D121" s="18" t="n"/>
      <c r="E121" s="18" t="n"/>
      <c r="F121" s="10">
        <f>IF(C121="","",IF(C121&gt;=9,"Promotor",IF(C121&gt;=7,"Pasivo","Detractor")))</f>
        <v/>
      </c>
      <c r="G121" s="20">
        <f>IF(F121="","",IF(F121="Promotor","Pedir reseña o recomendación",IF(F121="Pasivo","Preguntar qué le falta para un 10","Llamada de una persona en menos de 48 horas")))</f>
        <v/>
      </c>
      <c r="H121" s="18" t="n"/>
      <c r="I121" s="19" t="n"/>
    </row>
    <row r="122">
      <c r="A122" s="17" t="n"/>
      <c r="B122" s="18" t="n"/>
      <c r="C122" s="19" t="n"/>
      <c r="D122" s="18" t="n"/>
      <c r="E122" s="18" t="n"/>
      <c r="F122" s="10">
        <f>IF(C122="","",IF(C122&gt;=9,"Promotor",IF(C122&gt;=7,"Pasivo","Detractor")))</f>
        <v/>
      </c>
      <c r="G122" s="20">
        <f>IF(F122="","",IF(F122="Promotor","Pedir reseña o recomendación",IF(F122="Pasivo","Preguntar qué le falta para un 10","Llamada de una persona en menos de 48 horas")))</f>
        <v/>
      </c>
      <c r="H122" s="18" t="n"/>
      <c r="I122" s="19" t="n"/>
    </row>
    <row r="123">
      <c r="A123" s="17" t="n"/>
      <c r="B123" s="18" t="n"/>
      <c r="C123" s="19" t="n"/>
      <c r="D123" s="18" t="n"/>
      <c r="E123" s="18" t="n"/>
      <c r="F123" s="10">
        <f>IF(C123="","",IF(C123&gt;=9,"Promotor",IF(C123&gt;=7,"Pasivo","Detractor")))</f>
        <v/>
      </c>
      <c r="G123" s="20">
        <f>IF(F123="","",IF(F123="Promotor","Pedir reseña o recomendación",IF(F123="Pasivo","Preguntar qué le falta para un 10","Llamada de una persona en menos de 48 horas")))</f>
        <v/>
      </c>
      <c r="H123" s="18" t="n"/>
      <c r="I123" s="19" t="n"/>
    </row>
    <row r="124">
      <c r="A124" s="17" t="n"/>
      <c r="B124" s="18" t="n"/>
      <c r="C124" s="19" t="n"/>
      <c r="D124" s="18" t="n"/>
      <c r="E124" s="18" t="n"/>
      <c r="F124" s="10">
        <f>IF(C124="","",IF(C124&gt;=9,"Promotor",IF(C124&gt;=7,"Pasivo","Detractor")))</f>
        <v/>
      </c>
      <c r="G124" s="20">
        <f>IF(F124="","",IF(F124="Promotor","Pedir reseña o recomendación",IF(F124="Pasivo","Preguntar qué le falta para un 10","Llamada de una persona en menos de 48 horas")))</f>
        <v/>
      </c>
      <c r="H124" s="18" t="n"/>
      <c r="I124" s="19" t="n"/>
    </row>
    <row r="125">
      <c r="A125" s="17" t="n"/>
      <c r="B125" s="18" t="n"/>
      <c r="C125" s="19" t="n"/>
      <c r="D125" s="18" t="n"/>
      <c r="E125" s="18" t="n"/>
      <c r="F125" s="10">
        <f>IF(C125="","",IF(C125&gt;=9,"Promotor",IF(C125&gt;=7,"Pasivo","Detractor")))</f>
        <v/>
      </c>
      <c r="G125" s="20">
        <f>IF(F125="","",IF(F125="Promotor","Pedir reseña o recomendación",IF(F125="Pasivo","Preguntar qué le falta para un 10","Llamada de una persona en menos de 48 horas")))</f>
        <v/>
      </c>
      <c r="H125" s="18" t="n"/>
      <c r="I125" s="19" t="n"/>
    </row>
    <row r="126">
      <c r="A126" s="17" t="n"/>
      <c r="B126" s="18" t="n"/>
      <c r="C126" s="19" t="n"/>
      <c r="D126" s="18" t="n"/>
      <c r="E126" s="18" t="n"/>
      <c r="F126" s="10">
        <f>IF(C126="","",IF(C126&gt;=9,"Promotor",IF(C126&gt;=7,"Pasivo","Detractor")))</f>
        <v/>
      </c>
      <c r="G126" s="20">
        <f>IF(F126="","",IF(F126="Promotor","Pedir reseña o recomendación",IF(F126="Pasivo","Preguntar qué le falta para un 10","Llamada de una persona en menos de 48 horas")))</f>
        <v/>
      </c>
      <c r="H126" s="18" t="n"/>
      <c r="I126" s="19" t="n"/>
    </row>
    <row r="127">
      <c r="A127" s="17" t="n"/>
      <c r="B127" s="18" t="n"/>
      <c r="C127" s="19" t="n"/>
      <c r="D127" s="18" t="n"/>
      <c r="E127" s="18" t="n"/>
      <c r="F127" s="10">
        <f>IF(C127="","",IF(C127&gt;=9,"Promotor",IF(C127&gt;=7,"Pasivo","Detractor")))</f>
        <v/>
      </c>
      <c r="G127" s="20">
        <f>IF(F127="","",IF(F127="Promotor","Pedir reseña o recomendación",IF(F127="Pasivo","Preguntar qué le falta para un 10","Llamada de una persona en menos de 48 horas")))</f>
        <v/>
      </c>
      <c r="H127" s="18" t="n"/>
      <c r="I127" s="19" t="n"/>
    </row>
    <row r="128">
      <c r="A128" s="17" t="n"/>
      <c r="B128" s="18" t="n"/>
      <c r="C128" s="19" t="n"/>
      <c r="D128" s="18" t="n"/>
      <c r="E128" s="18" t="n"/>
      <c r="F128" s="10">
        <f>IF(C128="","",IF(C128&gt;=9,"Promotor",IF(C128&gt;=7,"Pasivo","Detractor")))</f>
        <v/>
      </c>
      <c r="G128" s="20">
        <f>IF(F128="","",IF(F128="Promotor","Pedir reseña o recomendación",IF(F128="Pasivo","Preguntar qué le falta para un 10","Llamada de una persona en menos de 48 horas")))</f>
        <v/>
      </c>
      <c r="H128" s="18" t="n"/>
      <c r="I128" s="19" t="n"/>
    </row>
    <row r="129">
      <c r="A129" s="17" t="n"/>
      <c r="B129" s="18" t="n"/>
      <c r="C129" s="19" t="n"/>
      <c r="D129" s="18" t="n"/>
      <c r="E129" s="18" t="n"/>
      <c r="F129" s="10">
        <f>IF(C129="","",IF(C129&gt;=9,"Promotor",IF(C129&gt;=7,"Pasivo","Detractor")))</f>
        <v/>
      </c>
      <c r="G129" s="20">
        <f>IF(F129="","",IF(F129="Promotor","Pedir reseña o recomendación",IF(F129="Pasivo","Preguntar qué le falta para un 10","Llamada de una persona en menos de 48 horas")))</f>
        <v/>
      </c>
      <c r="H129" s="18" t="n"/>
      <c r="I129" s="19" t="n"/>
    </row>
    <row r="130">
      <c r="A130" s="17" t="n"/>
      <c r="B130" s="18" t="n"/>
      <c r="C130" s="19" t="n"/>
      <c r="D130" s="18" t="n"/>
      <c r="E130" s="18" t="n"/>
      <c r="F130" s="10">
        <f>IF(C130="","",IF(C130&gt;=9,"Promotor",IF(C130&gt;=7,"Pasivo","Detractor")))</f>
        <v/>
      </c>
      <c r="G130" s="20">
        <f>IF(F130="","",IF(F130="Promotor","Pedir reseña o recomendación",IF(F130="Pasivo","Preguntar qué le falta para un 10","Llamada de una persona en menos de 48 horas")))</f>
        <v/>
      </c>
      <c r="H130" s="18" t="n"/>
      <c r="I130" s="19" t="n"/>
    </row>
    <row r="131">
      <c r="A131" s="17" t="n"/>
      <c r="B131" s="18" t="n"/>
      <c r="C131" s="19" t="n"/>
      <c r="D131" s="18" t="n"/>
      <c r="E131" s="18" t="n"/>
      <c r="F131" s="10">
        <f>IF(C131="","",IF(C131&gt;=9,"Promotor",IF(C131&gt;=7,"Pasivo","Detractor")))</f>
        <v/>
      </c>
      <c r="G131" s="20">
        <f>IF(F131="","",IF(F131="Promotor","Pedir reseña o recomendación",IF(F131="Pasivo","Preguntar qué le falta para un 10","Llamada de una persona en menos de 48 horas")))</f>
        <v/>
      </c>
      <c r="H131" s="18" t="n"/>
      <c r="I131" s="19" t="n"/>
    </row>
    <row r="132">
      <c r="A132" s="17" t="n"/>
      <c r="B132" s="18" t="n"/>
      <c r="C132" s="19" t="n"/>
      <c r="D132" s="18" t="n"/>
      <c r="E132" s="18" t="n"/>
      <c r="F132" s="10">
        <f>IF(C132="","",IF(C132&gt;=9,"Promotor",IF(C132&gt;=7,"Pasivo","Detractor")))</f>
        <v/>
      </c>
      <c r="G132" s="20">
        <f>IF(F132="","",IF(F132="Promotor","Pedir reseña o recomendación",IF(F132="Pasivo","Preguntar qué le falta para un 10","Llamada de una persona en menos de 48 horas")))</f>
        <v/>
      </c>
      <c r="H132" s="18" t="n"/>
      <c r="I132" s="19" t="n"/>
    </row>
    <row r="133">
      <c r="A133" s="17" t="n"/>
      <c r="B133" s="18" t="n"/>
      <c r="C133" s="19" t="n"/>
      <c r="D133" s="18" t="n"/>
      <c r="E133" s="18" t="n"/>
      <c r="F133" s="10">
        <f>IF(C133="","",IF(C133&gt;=9,"Promotor",IF(C133&gt;=7,"Pasivo","Detractor")))</f>
        <v/>
      </c>
      <c r="G133" s="20">
        <f>IF(F133="","",IF(F133="Promotor","Pedir reseña o recomendación",IF(F133="Pasivo","Preguntar qué le falta para un 10","Llamada de una persona en menos de 48 horas")))</f>
        <v/>
      </c>
      <c r="H133" s="18" t="n"/>
      <c r="I133" s="19" t="n"/>
    </row>
    <row r="134">
      <c r="A134" s="17" t="n"/>
      <c r="B134" s="18" t="n"/>
      <c r="C134" s="19" t="n"/>
      <c r="D134" s="18" t="n"/>
      <c r="E134" s="18" t="n"/>
      <c r="F134" s="10">
        <f>IF(C134="","",IF(C134&gt;=9,"Promotor",IF(C134&gt;=7,"Pasivo","Detractor")))</f>
        <v/>
      </c>
      <c r="G134" s="20">
        <f>IF(F134="","",IF(F134="Promotor","Pedir reseña o recomendación",IF(F134="Pasivo","Preguntar qué le falta para un 10","Llamada de una persona en menos de 48 horas")))</f>
        <v/>
      </c>
      <c r="H134" s="18" t="n"/>
      <c r="I134" s="19" t="n"/>
    </row>
    <row r="135">
      <c r="A135" s="17" t="n"/>
      <c r="B135" s="18" t="n"/>
      <c r="C135" s="19" t="n"/>
      <c r="D135" s="18" t="n"/>
      <c r="E135" s="18" t="n"/>
      <c r="F135" s="10">
        <f>IF(C135="","",IF(C135&gt;=9,"Promotor",IF(C135&gt;=7,"Pasivo","Detractor")))</f>
        <v/>
      </c>
      <c r="G135" s="20">
        <f>IF(F135="","",IF(F135="Promotor","Pedir reseña o recomendación",IF(F135="Pasivo","Preguntar qué le falta para un 10","Llamada de una persona en menos de 48 horas")))</f>
        <v/>
      </c>
      <c r="H135" s="18" t="n"/>
      <c r="I135" s="19" t="n"/>
    </row>
    <row r="136">
      <c r="A136" s="17" t="n"/>
      <c r="B136" s="18" t="n"/>
      <c r="C136" s="19" t="n"/>
      <c r="D136" s="18" t="n"/>
      <c r="E136" s="18" t="n"/>
      <c r="F136" s="10">
        <f>IF(C136="","",IF(C136&gt;=9,"Promotor",IF(C136&gt;=7,"Pasivo","Detractor")))</f>
        <v/>
      </c>
      <c r="G136" s="20">
        <f>IF(F136="","",IF(F136="Promotor","Pedir reseña o recomendación",IF(F136="Pasivo","Preguntar qué le falta para un 10","Llamada de una persona en menos de 48 horas")))</f>
        <v/>
      </c>
      <c r="H136" s="18" t="n"/>
      <c r="I136" s="19" t="n"/>
    </row>
    <row r="137">
      <c r="A137" s="17" t="n"/>
      <c r="B137" s="18" t="n"/>
      <c r="C137" s="19" t="n"/>
      <c r="D137" s="18" t="n"/>
      <c r="E137" s="18" t="n"/>
      <c r="F137" s="10">
        <f>IF(C137="","",IF(C137&gt;=9,"Promotor",IF(C137&gt;=7,"Pasivo","Detractor")))</f>
        <v/>
      </c>
      <c r="G137" s="20">
        <f>IF(F137="","",IF(F137="Promotor","Pedir reseña o recomendación",IF(F137="Pasivo","Preguntar qué le falta para un 10","Llamada de una persona en menos de 48 horas")))</f>
        <v/>
      </c>
      <c r="H137" s="18" t="n"/>
      <c r="I137" s="19" t="n"/>
    </row>
    <row r="138">
      <c r="A138" s="17" t="n"/>
      <c r="B138" s="18" t="n"/>
      <c r="C138" s="19" t="n"/>
      <c r="D138" s="18" t="n"/>
      <c r="E138" s="18" t="n"/>
      <c r="F138" s="10">
        <f>IF(C138="","",IF(C138&gt;=9,"Promotor",IF(C138&gt;=7,"Pasivo","Detractor")))</f>
        <v/>
      </c>
      <c r="G138" s="20">
        <f>IF(F138="","",IF(F138="Promotor","Pedir reseña o recomendación",IF(F138="Pasivo","Preguntar qué le falta para un 10","Llamada de una persona en menos de 48 horas")))</f>
        <v/>
      </c>
      <c r="H138" s="18" t="n"/>
      <c r="I138" s="19" t="n"/>
    </row>
    <row r="139">
      <c r="A139" s="17" t="n"/>
      <c r="B139" s="18" t="n"/>
      <c r="C139" s="19" t="n"/>
      <c r="D139" s="18" t="n"/>
      <c r="E139" s="18" t="n"/>
      <c r="F139" s="10">
        <f>IF(C139="","",IF(C139&gt;=9,"Promotor",IF(C139&gt;=7,"Pasivo","Detractor")))</f>
        <v/>
      </c>
      <c r="G139" s="20">
        <f>IF(F139="","",IF(F139="Promotor","Pedir reseña o recomendación",IF(F139="Pasivo","Preguntar qué le falta para un 10","Llamada de una persona en menos de 48 horas")))</f>
        <v/>
      </c>
      <c r="H139" s="18" t="n"/>
      <c r="I139" s="19" t="n"/>
    </row>
    <row r="140">
      <c r="A140" s="17" t="n"/>
      <c r="B140" s="18" t="n"/>
      <c r="C140" s="19" t="n"/>
      <c r="D140" s="18" t="n"/>
      <c r="E140" s="18" t="n"/>
      <c r="F140" s="10">
        <f>IF(C140="","",IF(C140&gt;=9,"Promotor",IF(C140&gt;=7,"Pasivo","Detractor")))</f>
        <v/>
      </c>
      <c r="G140" s="20">
        <f>IF(F140="","",IF(F140="Promotor","Pedir reseña o recomendación",IF(F140="Pasivo","Preguntar qué le falta para un 10","Llamada de una persona en menos de 48 horas")))</f>
        <v/>
      </c>
      <c r="H140" s="18" t="n"/>
      <c r="I140" s="19" t="n"/>
    </row>
    <row r="141">
      <c r="A141" s="17" t="n"/>
      <c r="B141" s="18" t="n"/>
      <c r="C141" s="19" t="n"/>
      <c r="D141" s="18" t="n"/>
      <c r="E141" s="18" t="n"/>
      <c r="F141" s="10">
        <f>IF(C141="","",IF(C141&gt;=9,"Promotor",IF(C141&gt;=7,"Pasivo","Detractor")))</f>
        <v/>
      </c>
      <c r="G141" s="20">
        <f>IF(F141="","",IF(F141="Promotor","Pedir reseña o recomendación",IF(F141="Pasivo","Preguntar qué le falta para un 10","Llamada de una persona en menos de 48 horas")))</f>
        <v/>
      </c>
      <c r="H141" s="18" t="n"/>
      <c r="I141" s="19" t="n"/>
    </row>
    <row r="142">
      <c r="A142" s="17" t="n"/>
      <c r="B142" s="18" t="n"/>
      <c r="C142" s="19" t="n"/>
      <c r="D142" s="18" t="n"/>
      <c r="E142" s="18" t="n"/>
      <c r="F142" s="10">
        <f>IF(C142="","",IF(C142&gt;=9,"Promotor",IF(C142&gt;=7,"Pasivo","Detractor")))</f>
        <v/>
      </c>
      <c r="G142" s="20">
        <f>IF(F142="","",IF(F142="Promotor","Pedir reseña o recomendación",IF(F142="Pasivo","Preguntar qué le falta para un 10","Llamada de una persona en menos de 48 horas")))</f>
        <v/>
      </c>
      <c r="H142" s="18" t="n"/>
      <c r="I142" s="19" t="n"/>
    </row>
    <row r="143">
      <c r="A143" s="17" t="n"/>
      <c r="B143" s="18" t="n"/>
      <c r="C143" s="19" t="n"/>
      <c r="D143" s="18" t="n"/>
      <c r="E143" s="18" t="n"/>
      <c r="F143" s="10">
        <f>IF(C143="","",IF(C143&gt;=9,"Promotor",IF(C143&gt;=7,"Pasivo","Detractor")))</f>
        <v/>
      </c>
      <c r="G143" s="20">
        <f>IF(F143="","",IF(F143="Promotor","Pedir reseña o recomendación",IF(F143="Pasivo","Preguntar qué le falta para un 10","Llamada de una persona en menos de 48 horas")))</f>
        <v/>
      </c>
      <c r="H143" s="18" t="n"/>
      <c r="I143" s="19" t="n"/>
    </row>
    <row r="144">
      <c r="A144" s="17" t="n"/>
      <c r="B144" s="18" t="n"/>
      <c r="C144" s="19" t="n"/>
      <c r="D144" s="18" t="n"/>
      <c r="E144" s="18" t="n"/>
      <c r="F144" s="10">
        <f>IF(C144="","",IF(C144&gt;=9,"Promotor",IF(C144&gt;=7,"Pasivo","Detractor")))</f>
        <v/>
      </c>
      <c r="G144" s="20">
        <f>IF(F144="","",IF(F144="Promotor","Pedir reseña o recomendación",IF(F144="Pasivo","Preguntar qué le falta para un 10","Llamada de una persona en menos de 48 horas")))</f>
        <v/>
      </c>
      <c r="H144" s="18" t="n"/>
      <c r="I144" s="19" t="n"/>
    </row>
    <row r="145">
      <c r="A145" s="17" t="n"/>
      <c r="B145" s="18" t="n"/>
      <c r="C145" s="19" t="n"/>
      <c r="D145" s="18" t="n"/>
      <c r="E145" s="18" t="n"/>
      <c r="F145" s="10">
        <f>IF(C145="","",IF(C145&gt;=9,"Promotor",IF(C145&gt;=7,"Pasivo","Detractor")))</f>
        <v/>
      </c>
      <c r="G145" s="20">
        <f>IF(F145="","",IF(F145="Promotor","Pedir reseña o recomendación",IF(F145="Pasivo","Preguntar qué le falta para un 10","Llamada de una persona en menos de 48 horas")))</f>
        <v/>
      </c>
      <c r="H145" s="18" t="n"/>
      <c r="I145" s="19" t="n"/>
    </row>
    <row r="146">
      <c r="A146" s="17" t="n"/>
      <c r="B146" s="18" t="n"/>
      <c r="C146" s="19" t="n"/>
      <c r="D146" s="18" t="n"/>
      <c r="E146" s="18" t="n"/>
      <c r="F146" s="10">
        <f>IF(C146="","",IF(C146&gt;=9,"Promotor",IF(C146&gt;=7,"Pasivo","Detractor")))</f>
        <v/>
      </c>
      <c r="G146" s="20">
        <f>IF(F146="","",IF(F146="Promotor","Pedir reseña o recomendación",IF(F146="Pasivo","Preguntar qué le falta para un 10","Llamada de una persona en menos de 48 horas")))</f>
        <v/>
      </c>
      <c r="H146" s="18" t="n"/>
      <c r="I146" s="19" t="n"/>
    </row>
    <row r="147">
      <c r="A147" s="17" t="n"/>
      <c r="B147" s="18" t="n"/>
      <c r="C147" s="19" t="n"/>
      <c r="D147" s="18" t="n"/>
      <c r="E147" s="18" t="n"/>
      <c r="F147" s="10">
        <f>IF(C147="","",IF(C147&gt;=9,"Promotor",IF(C147&gt;=7,"Pasivo","Detractor")))</f>
        <v/>
      </c>
      <c r="G147" s="20">
        <f>IF(F147="","",IF(F147="Promotor","Pedir reseña o recomendación",IF(F147="Pasivo","Preguntar qué le falta para un 10","Llamada de una persona en menos de 48 horas")))</f>
        <v/>
      </c>
      <c r="H147" s="18" t="n"/>
      <c r="I147" s="19" t="n"/>
    </row>
    <row r="148">
      <c r="A148" s="17" t="n"/>
      <c r="B148" s="18" t="n"/>
      <c r="C148" s="19" t="n"/>
      <c r="D148" s="18" t="n"/>
      <c r="E148" s="18" t="n"/>
      <c r="F148" s="10">
        <f>IF(C148="","",IF(C148&gt;=9,"Promotor",IF(C148&gt;=7,"Pasivo","Detractor")))</f>
        <v/>
      </c>
      <c r="G148" s="20">
        <f>IF(F148="","",IF(F148="Promotor","Pedir reseña o recomendación",IF(F148="Pasivo","Preguntar qué le falta para un 10","Llamada de una persona en menos de 48 horas")))</f>
        <v/>
      </c>
      <c r="H148" s="18" t="n"/>
      <c r="I148" s="19" t="n"/>
    </row>
    <row r="149">
      <c r="A149" s="17" t="n"/>
      <c r="B149" s="18" t="n"/>
      <c r="C149" s="19" t="n"/>
      <c r="D149" s="18" t="n"/>
      <c r="E149" s="18" t="n"/>
      <c r="F149" s="10">
        <f>IF(C149="","",IF(C149&gt;=9,"Promotor",IF(C149&gt;=7,"Pasivo","Detractor")))</f>
        <v/>
      </c>
      <c r="G149" s="20">
        <f>IF(F149="","",IF(F149="Promotor","Pedir reseña o recomendación",IF(F149="Pasivo","Preguntar qué le falta para un 10","Llamada de una persona en menos de 48 horas")))</f>
        <v/>
      </c>
      <c r="H149" s="18" t="n"/>
      <c r="I149" s="19" t="n"/>
    </row>
    <row r="150">
      <c r="A150" s="17" t="n"/>
      <c r="B150" s="18" t="n"/>
      <c r="C150" s="19" t="n"/>
      <c r="D150" s="18" t="n"/>
      <c r="E150" s="18" t="n"/>
      <c r="F150" s="10">
        <f>IF(C150="","",IF(C150&gt;=9,"Promotor",IF(C150&gt;=7,"Pasivo","Detractor")))</f>
        <v/>
      </c>
      <c r="G150" s="20">
        <f>IF(F150="","",IF(F150="Promotor","Pedir reseña o recomendación",IF(F150="Pasivo","Preguntar qué le falta para un 10","Llamada de una persona en menos de 48 horas")))</f>
        <v/>
      </c>
      <c r="H150" s="18" t="n"/>
      <c r="I150" s="19" t="n"/>
    </row>
    <row r="151">
      <c r="A151" s="17" t="n"/>
      <c r="B151" s="18" t="n"/>
      <c r="C151" s="19" t="n"/>
      <c r="D151" s="18" t="n"/>
      <c r="E151" s="18" t="n"/>
      <c r="F151" s="10">
        <f>IF(C151="","",IF(C151&gt;=9,"Promotor",IF(C151&gt;=7,"Pasivo","Detractor")))</f>
        <v/>
      </c>
      <c r="G151" s="20">
        <f>IF(F151="","",IF(F151="Promotor","Pedir reseña o recomendación",IF(F151="Pasivo","Preguntar qué le falta para un 10","Llamada de una persona en menos de 48 horas")))</f>
        <v/>
      </c>
      <c r="H151" s="18" t="n"/>
      <c r="I151" s="19" t="n"/>
    </row>
    <row r="152">
      <c r="A152" s="17" t="n"/>
      <c r="B152" s="18" t="n"/>
      <c r="C152" s="19" t="n"/>
      <c r="D152" s="18" t="n"/>
      <c r="E152" s="18" t="n"/>
      <c r="F152" s="10">
        <f>IF(C152="","",IF(C152&gt;=9,"Promotor",IF(C152&gt;=7,"Pasivo","Detractor")))</f>
        <v/>
      </c>
      <c r="G152" s="20">
        <f>IF(F152="","",IF(F152="Promotor","Pedir reseña o recomendación",IF(F152="Pasivo","Preguntar qué le falta para un 10","Llamada de una persona en menos de 48 horas")))</f>
        <v/>
      </c>
      <c r="H152" s="18" t="n"/>
      <c r="I152" s="19" t="n"/>
    </row>
    <row r="153">
      <c r="A153" s="17" t="n"/>
      <c r="B153" s="18" t="n"/>
      <c r="C153" s="19" t="n"/>
      <c r="D153" s="18" t="n"/>
      <c r="E153" s="18" t="n"/>
      <c r="F153" s="10">
        <f>IF(C153="","",IF(C153&gt;=9,"Promotor",IF(C153&gt;=7,"Pasivo","Detractor")))</f>
        <v/>
      </c>
      <c r="G153" s="20">
        <f>IF(F153="","",IF(F153="Promotor","Pedir reseña o recomendación",IF(F153="Pasivo","Preguntar qué le falta para un 10","Llamada de una persona en menos de 48 horas")))</f>
        <v/>
      </c>
      <c r="H153" s="18" t="n"/>
      <c r="I153" s="19" t="n"/>
    </row>
    <row r="154">
      <c r="A154" s="17" t="n"/>
      <c r="B154" s="18" t="n"/>
      <c r="C154" s="19" t="n"/>
      <c r="D154" s="18" t="n"/>
      <c r="E154" s="18" t="n"/>
      <c r="F154" s="10">
        <f>IF(C154="","",IF(C154&gt;=9,"Promotor",IF(C154&gt;=7,"Pasivo","Detractor")))</f>
        <v/>
      </c>
      <c r="G154" s="20">
        <f>IF(F154="","",IF(F154="Promotor","Pedir reseña o recomendación",IF(F154="Pasivo","Preguntar qué le falta para un 10","Llamada de una persona en menos de 48 horas")))</f>
        <v/>
      </c>
      <c r="H154" s="18" t="n"/>
      <c r="I154" s="19" t="n"/>
    </row>
    <row r="155">
      <c r="A155" s="17" t="n"/>
      <c r="B155" s="18" t="n"/>
      <c r="C155" s="19" t="n"/>
      <c r="D155" s="18" t="n"/>
      <c r="E155" s="18" t="n"/>
      <c r="F155" s="10">
        <f>IF(C155="","",IF(C155&gt;=9,"Promotor",IF(C155&gt;=7,"Pasivo","Detractor")))</f>
        <v/>
      </c>
      <c r="G155" s="20">
        <f>IF(F155="","",IF(F155="Promotor","Pedir reseña o recomendación",IF(F155="Pasivo","Preguntar qué le falta para un 10","Llamada de una persona en menos de 48 horas")))</f>
        <v/>
      </c>
      <c r="H155" s="18" t="n"/>
      <c r="I155" s="19" t="n"/>
    </row>
    <row r="156">
      <c r="A156" s="17" t="n"/>
      <c r="B156" s="18" t="n"/>
      <c r="C156" s="19" t="n"/>
      <c r="D156" s="18" t="n"/>
      <c r="E156" s="18" t="n"/>
      <c r="F156" s="10">
        <f>IF(C156="","",IF(C156&gt;=9,"Promotor",IF(C156&gt;=7,"Pasivo","Detractor")))</f>
        <v/>
      </c>
      <c r="G156" s="20">
        <f>IF(F156="","",IF(F156="Promotor","Pedir reseña o recomendación",IF(F156="Pasivo","Preguntar qué le falta para un 10","Llamada de una persona en menos de 48 horas")))</f>
        <v/>
      </c>
      <c r="H156" s="18" t="n"/>
      <c r="I156" s="19" t="n"/>
    </row>
    <row r="157">
      <c r="A157" s="17" t="n"/>
      <c r="B157" s="18" t="n"/>
      <c r="C157" s="19" t="n"/>
      <c r="D157" s="18" t="n"/>
      <c r="E157" s="18" t="n"/>
      <c r="F157" s="10">
        <f>IF(C157="","",IF(C157&gt;=9,"Promotor",IF(C157&gt;=7,"Pasivo","Detractor")))</f>
        <v/>
      </c>
      <c r="G157" s="20">
        <f>IF(F157="","",IF(F157="Promotor","Pedir reseña o recomendación",IF(F157="Pasivo","Preguntar qué le falta para un 10","Llamada de una persona en menos de 48 horas")))</f>
        <v/>
      </c>
      <c r="H157" s="18" t="n"/>
      <c r="I157" s="19" t="n"/>
    </row>
    <row r="158">
      <c r="A158" s="17" t="n"/>
      <c r="B158" s="18" t="n"/>
      <c r="C158" s="19" t="n"/>
      <c r="D158" s="18" t="n"/>
      <c r="E158" s="18" t="n"/>
      <c r="F158" s="10">
        <f>IF(C158="","",IF(C158&gt;=9,"Promotor",IF(C158&gt;=7,"Pasivo","Detractor")))</f>
        <v/>
      </c>
      <c r="G158" s="20">
        <f>IF(F158="","",IF(F158="Promotor","Pedir reseña o recomendación",IF(F158="Pasivo","Preguntar qué le falta para un 10","Llamada de una persona en menos de 48 horas")))</f>
        <v/>
      </c>
      <c r="H158" s="18" t="n"/>
      <c r="I158" s="19" t="n"/>
    </row>
    <row r="159">
      <c r="A159" s="17" t="n"/>
      <c r="B159" s="18" t="n"/>
      <c r="C159" s="19" t="n"/>
      <c r="D159" s="18" t="n"/>
      <c r="E159" s="18" t="n"/>
      <c r="F159" s="10">
        <f>IF(C159="","",IF(C159&gt;=9,"Promotor",IF(C159&gt;=7,"Pasivo","Detractor")))</f>
        <v/>
      </c>
      <c r="G159" s="20">
        <f>IF(F159="","",IF(F159="Promotor","Pedir reseña o recomendación",IF(F159="Pasivo","Preguntar qué le falta para un 10","Llamada de una persona en menos de 48 horas")))</f>
        <v/>
      </c>
      <c r="H159" s="18" t="n"/>
      <c r="I159" s="19" t="n"/>
    </row>
    <row r="160">
      <c r="A160" s="17" t="n"/>
      <c r="B160" s="18" t="n"/>
      <c r="C160" s="19" t="n"/>
      <c r="D160" s="18" t="n"/>
      <c r="E160" s="18" t="n"/>
      <c r="F160" s="10">
        <f>IF(C160="","",IF(C160&gt;=9,"Promotor",IF(C160&gt;=7,"Pasivo","Detractor")))</f>
        <v/>
      </c>
      <c r="G160" s="20">
        <f>IF(F160="","",IF(F160="Promotor","Pedir reseña o recomendación",IF(F160="Pasivo","Preguntar qué le falta para un 10","Llamada de una persona en menos de 48 horas")))</f>
        <v/>
      </c>
      <c r="H160" s="18" t="n"/>
      <c r="I160" s="19" t="n"/>
    </row>
    <row r="161">
      <c r="A161" s="17" t="n"/>
      <c r="B161" s="18" t="n"/>
      <c r="C161" s="19" t="n"/>
      <c r="D161" s="18" t="n"/>
      <c r="E161" s="18" t="n"/>
      <c r="F161" s="10">
        <f>IF(C161="","",IF(C161&gt;=9,"Promotor",IF(C161&gt;=7,"Pasivo","Detractor")))</f>
        <v/>
      </c>
      <c r="G161" s="20">
        <f>IF(F161="","",IF(F161="Promotor","Pedir reseña o recomendación",IF(F161="Pasivo","Preguntar qué le falta para un 10","Llamada de una persona en menos de 48 horas")))</f>
        <v/>
      </c>
      <c r="H161" s="18" t="n"/>
      <c r="I161" s="19" t="n"/>
    </row>
    <row r="162">
      <c r="A162" s="17" t="n"/>
      <c r="B162" s="18" t="n"/>
      <c r="C162" s="19" t="n"/>
      <c r="D162" s="18" t="n"/>
      <c r="E162" s="18" t="n"/>
      <c r="F162" s="10">
        <f>IF(C162="","",IF(C162&gt;=9,"Promotor",IF(C162&gt;=7,"Pasivo","Detractor")))</f>
        <v/>
      </c>
      <c r="G162" s="20">
        <f>IF(F162="","",IF(F162="Promotor","Pedir reseña o recomendación",IF(F162="Pasivo","Preguntar qué le falta para un 10","Llamada de una persona en menos de 48 horas")))</f>
        <v/>
      </c>
      <c r="H162" s="18" t="n"/>
      <c r="I162" s="19" t="n"/>
    </row>
    <row r="163">
      <c r="A163" s="17" t="n"/>
      <c r="B163" s="18" t="n"/>
      <c r="C163" s="19" t="n"/>
      <c r="D163" s="18" t="n"/>
      <c r="E163" s="18" t="n"/>
      <c r="F163" s="10">
        <f>IF(C163="","",IF(C163&gt;=9,"Promotor",IF(C163&gt;=7,"Pasivo","Detractor")))</f>
        <v/>
      </c>
      <c r="G163" s="20">
        <f>IF(F163="","",IF(F163="Promotor","Pedir reseña o recomendación",IF(F163="Pasivo","Preguntar qué le falta para un 10","Llamada de una persona en menos de 48 horas")))</f>
        <v/>
      </c>
      <c r="H163" s="18" t="n"/>
      <c r="I163" s="19" t="n"/>
    </row>
    <row r="164">
      <c r="A164" s="17" t="n"/>
      <c r="B164" s="18" t="n"/>
      <c r="C164" s="19" t="n"/>
      <c r="D164" s="18" t="n"/>
      <c r="E164" s="18" t="n"/>
      <c r="F164" s="10">
        <f>IF(C164="","",IF(C164&gt;=9,"Promotor",IF(C164&gt;=7,"Pasivo","Detractor")))</f>
        <v/>
      </c>
      <c r="G164" s="20">
        <f>IF(F164="","",IF(F164="Promotor","Pedir reseña o recomendación",IF(F164="Pasivo","Preguntar qué le falta para un 10","Llamada de una persona en menos de 48 horas")))</f>
        <v/>
      </c>
      <c r="H164" s="18" t="n"/>
      <c r="I164" s="19" t="n"/>
    </row>
    <row r="165">
      <c r="A165" s="17" t="n"/>
      <c r="B165" s="18" t="n"/>
      <c r="C165" s="19" t="n"/>
      <c r="D165" s="18" t="n"/>
      <c r="E165" s="18" t="n"/>
      <c r="F165" s="10">
        <f>IF(C165="","",IF(C165&gt;=9,"Promotor",IF(C165&gt;=7,"Pasivo","Detractor")))</f>
        <v/>
      </c>
      <c r="G165" s="20">
        <f>IF(F165="","",IF(F165="Promotor","Pedir reseña o recomendación",IF(F165="Pasivo","Preguntar qué le falta para un 10","Llamada de una persona en menos de 48 horas")))</f>
        <v/>
      </c>
      <c r="H165" s="18" t="n"/>
      <c r="I165" s="19" t="n"/>
    </row>
    <row r="166">
      <c r="A166" s="17" t="n"/>
      <c r="B166" s="18" t="n"/>
      <c r="C166" s="19" t="n"/>
      <c r="D166" s="18" t="n"/>
      <c r="E166" s="18" t="n"/>
      <c r="F166" s="10">
        <f>IF(C166="","",IF(C166&gt;=9,"Promotor",IF(C166&gt;=7,"Pasivo","Detractor")))</f>
        <v/>
      </c>
      <c r="G166" s="20">
        <f>IF(F166="","",IF(F166="Promotor","Pedir reseña o recomendación",IF(F166="Pasivo","Preguntar qué le falta para un 10","Llamada de una persona en menos de 48 horas")))</f>
        <v/>
      </c>
      <c r="H166" s="18" t="n"/>
      <c r="I166" s="19" t="n"/>
    </row>
    <row r="167">
      <c r="A167" s="17" t="n"/>
      <c r="B167" s="18" t="n"/>
      <c r="C167" s="19" t="n"/>
      <c r="D167" s="18" t="n"/>
      <c r="E167" s="18" t="n"/>
      <c r="F167" s="10">
        <f>IF(C167="","",IF(C167&gt;=9,"Promotor",IF(C167&gt;=7,"Pasivo","Detractor")))</f>
        <v/>
      </c>
      <c r="G167" s="20">
        <f>IF(F167="","",IF(F167="Promotor","Pedir reseña o recomendación",IF(F167="Pasivo","Preguntar qué le falta para un 10","Llamada de una persona en menos de 48 horas")))</f>
        <v/>
      </c>
      <c r="H167" s="18" t="n"/>
      <c r="I167" s="19" t="n"/>
    </row>
    <row r="168">
      <c r="A168" s="17" t="n"/>
      <c r="B168" s="18" t="n"/>
      <c r="C168" s="19" t="n"/>
      <c r="D168" s="18" t="n"/>
      <c r="E168" s="18" t="n"/>
      <c r="F168" s="10">
        <f>IF(C168="","",IF(C168&gt;=9,"Promotor",IF(C168&gt;=7,"Pasivo","Detractor")))</f>
        <v/>
      </c>
      <c r="G168" s="20">
        <f>IF(F168="","",IF(F168="Promotor","Pedir reseña o recomendación",IF(F168="Pasivo","Preguntar qué le falta para un 10","Llamada de una persona en menos de 48 horas")))</f>
        <v/>
      </c>
      <c r="H168" s="18" t="n"/>
      <c r="I168" s="19" t="n"/>
    </row>
    <row r="169">
      <c r="A169" s="17" t="n"/>
      <c r="B169" s="18" t="n"/>
      <c r="C169" s="19" t="n"/>
      <c r="D169" s="18" t="n"/>
      <c r="E169" s="18" t="n"/>
      <c r="F169" s="10">
        <f>IF(C169="","",IF(C169&gt;=9,"Promotor",IF(C169&gt;=7,"Pasivo","Detractor")))</f>
        <v/>
      </c>
      <c r="G169" s="20">
        <f>IF(F169="","",IF(F169="Promotor","Pedir reseña o recomendación",IF(F169="Pasivo","Preguntar qué le falta para un 10","Llamada de una persona en menos de 48 horas")))</f>
        <v/>
      </c>
      <c r="H169" s="18" t="n"/>
      <c r="I169" s="19" t="n"/>
    </row>
    <row r="170">
      <c r="A170" s="17" t="n"/>
      <c r="B170" s="18" t="n"/>
      <c r="C170" s="19" t="n"/>
      <c r="D170" s="18" t="n"/>
      <c r="E170" s="18" t="n"/>
      <c r="F170" s="10">
        <f>IF(C170="","",IF(C170&gt;=9,"Promotor",IF(C170&gt;=7,"Pasivo","Detractor")))</f>
        <v/>
      </c>
      <c r="G170" s="20">
        <f>IF(F170="","",IF(F170="Promotor","Pedir reseña o recomendación",IF(F170="Pasivo","Preguntar qué le falta para un 10","Llamada de una persona en menos de 48 horas")))</f>
        <v/>
      </c>
      <c r="H170" s="18" t="n"/>
      <c r="I170" s="19" t="n"/>
    </row>
    <row r="171">
      <c r="A171" s="17" t="n"/>
      <c r="B171" s="18" t="n"/>
      <c r="C171" s="19" t="n"/>
      <c r="D171" s="18" t="n"/>
      <c r="E171" s="18" t="n"/>
      <c r="F171" s="10">
        <f>IF(C171="","",IF(C171&gt;=9,"Promotor",IF(C171&gt;=7,"Pasivo","Detractor")))</f>
        <v/>
      </c>
      <c r="G171" s="20">
        <f>IF(F171="","",IF(F171="Promotor","Pedir reseña o recomendación",IF(F171="Pasivo","Preguntar qué le falta para un 10","Llamada de una persona en menos de 48 horas")))</f>
        <v/>
      </c>
      <c r="H171" s="18" t="n"/>
      <c r="I171" s="19" t="n"/>
    </row>
    <row r="172">
      <c r="A172" s="17" t="n"/>
      <c r="B172" s="18" t="n"/>
      <c r="C172" s="19" t="n"/>
      <c r="D172" s="18" t="n"/>
      <c r="E172" s="18" t="n"/>
      <c r="F172" s="10">
        <f>IF(C172="","",IF(C172&gt;=9,"Promotor",IF(C172&gt;=7,"Pasivo","Detractor")))</f>
        <v/>
      </c>
      <c r="G172" s="20">
        <f>IF(F172="","",IF(F172="Promotor","Pedir reseña o recomendación",IF(F172="Pasivo","Preguntar qué le falta para un 10","Llamada de una persona en menos de 48 horas")))</f>
        <v/>
      </c>
      <c r="H172" s="18" t="n"/>
      <c r="I172" s="19" t="n"/>
    </row>
    <row r="173">
      <c r="A173" s="17" t="n"/>
      <c r="B173" s="18" t="n"/>
      <c r="C173" s="19" t="n"/>
      <c r="D173" s="18" t="n"/>
      <c r="E173" s="18" t="n"/>
      <c r="F173" s="10">
        <f>IF(C173="","",IF(C173&gt;=9,"Promotor",IF(C173&gt;=7,"Pasivo","Detractor")))</f>
        <v/>
      </c>
      <c r="G173" s="20">
        <f>IF(F173="","",IF(F173="Promotor","Pedir reseña o recomendación",IF(F173="Pasivo","Preguntar qué le falta para un 10","Llamada de una persona en menos de 48 horas")))</f>
        <v/>
      </c>
      <c r="H173" s="18" t="n"/>
      <c r="I173" s="19" t="n"/>
    </row>
    <row r="174">
      <c r="A174" s="17" t="n"/>
      <c r="B174" s="18" t="n"/>
      <c r="C174" s="19" t="n"/>
      <c r="D174" s="18" t="n"/>
      <c r="E174" s="18" t="n"/>
      <c r="F174" s="10">
        <f>IF(C174="","",IF(C174&gt;=9,"Promotor",IF(C174&gt;=7,"Pasivo","Detractor")))</f>
        <v/>
      </c>
      <c r="G174" s="20">
        <f>IF(F174="","",IF(F174="Promotor","Pedir reseña o recomendación",IF(F174="Pasivo","Preguntar qué le falta para un 10","Llamada de una persona en menos de 48 horas")))</f>
        <v/>
      </c>
      <c r="H174" s="18" t="n"/>
      <c r="I174" s="19" t="n"/>
    </row>
    <row r="175">
      <c r="A175" s="17" t="n"/>
      <c r="B175" s="18" t="n"/>
      <c r="C175" s="19" t="n"/>
      <c r="D175" s="18" t="n"/>
      <c r="E175" s="18" t="n"/>
      <c r="F175" s="10">
        <f>IF(C175="","",IF(C175&gt;=9,"Promotor",IF(C175&gt;=7,"Pasivo","Detractor")))</f>
        <v/>
      </c>
      <c r="G175" s="20">
        <f>IF(F175="","",IF(F175="Promotor","Pedir reseña o recomendación",IF(F175="Pasivo","Preguntar qué le falta para un 10","Llamada de una persona en menos de 48 horas")))</f>
        <v/>
      </c>
      <c r="H175" s="18" t="n"/>
      <c r="I175" s="19" t="n"/>
    </row>
    <row r="176">
      <c r="A176" s="17" t="n"/>
      <c r="B176" s="18" t="n"/>
      <c r="C176" s="19" t="n"/>
      <c r="D176" s="18" t="n"/>
      <c r="E176" s="18" t="n"/>
      <c r="F176" s="10">
        <f>IF(C176="","",IF(C176&gt;=9,"Promotor",IF(C176&gt;=7,"Pasivo","Detractor")))</f>
        <v/>
      </c>
      <c r="G176" s="20">
        <f>IF(F176="","",IF(F176="Promotor","Pedir reseña o recomendación",IF(F176="Pasivo","Preguntar qué le falta para un 10","Llamada de una persona en menos de 48 horas")))</f>
        <v/>
      </c>
      <c r="H176" s="18" t="n"/>
      <c r="I176" s="19" t="n"/>
    </row>
    <row r="177">
      <c r="A177" s="17" t="n"/>
      <c r="B177" s="18" t="n"/>
      <c r="C177" s="19" t="n"/>
      <c r="D177" s="18" t="n"/>
      <c r="E177" s="18" t="n"/>
      <c r="F177" s="10">
        <f>IF(C177="","",IF(C177&gt;=9,"Promotor",IF(C177&gt;=7,"Pasivo","Detractor")))</f>
        <v/>
      </c>
      <c r="G177" s="20">
        <f>IF(F177="","",IF(F177="Promotor","Pedir reseña o recomendación",IF(F177="Pasivo","Preguntar qué le falta para un 10","Llamada de una persona en menos de 48 horas")))</f>
        <v/>
      </c>
      <c r="H177" s="18" t="n"/>
      <c r="I177" s="19" t="n"/>
    </row>
    <row r="178">
      <c r="A178" s="17" t="n"/>
      <c r="B178" s="18" t="n"/>
      <c r="C178" s="19" t="n"/>
      <c r="D178" s="18" t="n"/>
      <c r="E178" s="18" t="n"/>
      <c r="F178" s="10">
        <f>IF(C178="","",IF(C178&gt;=9,"Promotor",IF(C178&gt;=7,"Pasivo","Detractor")))</f>
        <v/>
      </c>
      <c r="G178" s="20">
        <f>IF(F178="","",IF(F178="Promotor","Pedir reseña o recomendación",IF(F178="Pasivo","Preguntar qué le falta para un 10","Llamada de una persona en menos de 48 horas")))</f>
        <v/>
      </c>
      <c r="H178" s="18" t="n"/>
      <c r="I178" s="19" t="n"/>
    </row>
    <row r="179">
      <c r="A179" s="17" t="n"/>
      <c r="B179" s="18" t="n"/>
      <c r="C179" s="19" t="n"/>
      <c r="D179" s="18" t="n"/>
      <c r="E179" s="18" t="n"/>
      <c r="F179" s="10">
        <f>IF(C179="","",IF(C179&gt;=9,"Promotor",IF(C179&gt;=7,"Pasivo","Detractor")))</f>
        <v/>
      </c>
      <c r="G179" s="20">
        <f>IF(F179="","",IF(F179="Promotor","Pedir reseña o recomendación",IF(F179="Pasivo","Preguntar qué le falta para un 10","Llamada de una persona en menos de 48 horas")))</f>
        <v/>
      </c>
      <c r="H179" s="18" t="n"/>
      <c r="I179" s="19" t="n"/>
    </row>
    <row r="180">
      <c r="A180" s="17" t="n"/>
      <c r="B180" s="18" t="n"/>
      <c r="C180" s="19" t="n"/>
      <c r="D180" s="18" t="n"/>
      <c r="E180" s="18" t="n"/>
      <c r="F180" s="10">
        <f>IF(C180="","",IF(C180&gt;=9,"Promotor",IF(C180&gt;=7,"Pasivo","Detractor")))</f>
        <v/>
      </c>
      <c r="G180" s="20">
        <f>IF(F180="","",IF(F180="Promotor","Pedir reseña o recomendación",IF(F180="Pasivo","Preguntar qué le falta para un 10","Llamada de una persona en menos de 48 horas")))</f>
        <v/>
      </c>
      <c r="H180" s="18" t="n"/>
      <c r="I180" s="19" t="n"/>
    </row>
    <row r="181">
      <c r="A181" s="17" t="n"/>
      <c r="B181" s="18" t="n"/>
      <c r="C181" s="19" t="n"/>
      <c r="D181" s="18" t="n"/>
      <c r="E181" s="18" t="n"/>
      <c r="F181" s="10">
        <f>IF(C181="","",IF(C181&gt;=9,"Promotor",IF(C181&gt;=7,"Pasivo","Detractor")))</f>
        <v/>
      </c>
      <c r="G181" s="20">
        <f>IF(F181="","",IF(F181="Promotor","Pedir reseña o recomendación",IF(F181="Pasivo","Preguntar qué le falta para un 10","Llamada de una persona en menos de 48 horas")))</f>
        <v/>
      </c>
      <c r="H181" s="18" t="n"/>
      <c r="I181" s="19" t="n"/>
    </row>
    <row r="182">
      <c r="A182" s="17" t="n"/>
      <c r="B182" s="18" t="n"/>
      <c r="C182" s="19" t="n"/>
      <c r="D182" s="18" t="n"/>
      <c r="E182" s="18" t="n"/>
      <c r="F182" s="10">
        <f>IF(C182="","",IF(C182&gt;=9,"Promotor",IF(C182&gt;=7,"Pasivo","Detractor")))</f>
        <v/>
      </c>
      <c r="G182" s="20">
        <f>IF(F182="","",IF(F182="Promotor","Pedir reseña o recomendación",IF(F182="Pasivo","Preguntar qué le falta para un 10","Llamada de una persona en menos de 48 horas")))</f>
        <v/>
      </c>
      <c r="H182" s="18" t="n"/>
      <c r="I182" s="19" t="n"/>
    </row>
    <row r="183">
      <c r="A183" s="17" t="n"/>
      <c r="B183" s="18" t="n"/>
      <c r="C183" s="19" t="n"/>
      <c r="D183" s="18" t="n"/>
      <c r="E183" s="18" t="n"/>
      <c r="F183" s="10">
        <f>IF(C183="","",IF(C183&gt;=9,"Promotor",IF(C183&gt;=7,"Pasivo","Detractor")))</f>
        <v/>
      </c>
      <c r="G183" s="20">
        <f>IF(F183="","",IF(F183="Promotor","Pedir reseña o recomendación",IF(F183="Pasivo","Preguntar qué le falta para un 10","Llamada de una persona en menos de 48 horas")))</f>
        <v/>
      </c>
      <c r="H183" s="18" t="n"/>
      <c r="I183" s="19" t="n"/>
    </row>
    <row r="184">
      <c r="A184" s="17" t="n"/>
      <c r="B184" s="18" t="n"/>
      <c r="C184" s="19" t="n"/>
      <c r="D184" s="18" t="n"/>
      <c r="E184" s="18" t="n"/>
      <c r="F184" s="10">
        <f>IF(C184="","",IF(C184&gt;=9,"Promotor",IF(C184&gt;=7,"Pasivo","Detractor")))</f>
        <v/>
      </c>
      <c r="G184" s="20">
        <f>IF(F184="","",IF(F184="Promotor","Pedir reseña o recomendación",IF(F184="Pasivo","Preguntar qué le falta para un 10","Llamada de una persona en menos de 48 horas")))</f>
        <v/>
      </c>
      <c r="H184" s="18" t="n"/>
      <c r="I184" s="19" t="n"/>
    </row>
    <row r="185">
      <c r="A185" s="17" t="n"/>
      <c r="B185" s="18" t="n"/>
      <c r="C185" s="19" t="n"/>
      <c r="D185" s="18" t="n"/>
      <c r="E185" s="18" t="n"/>
      <c r="F185" s="10">
        <f>IF(C185="","",IF(C185&gt;=9,"Promotor",IF(C185&gt;=7,"Pasivo","Detractor")))</f>
        <v/>
      </c>
      <c r="G185" s="20">
        <f>IF(F185="","",IF(F185="Promotor","Pedir reseña o recomendación",IF(F185="Pasivo","Preguntar qué le falta para un 10","Llamada de una persona en menos de 48 horas")))</f>
        <v/>
      </c>
      <c r="H185" s="18" t="n"/>
      <c r="I185" s="19" t="n"/>
    </row>
    <row r="186">
      <c r="A186" s="17" t="n"/>
      <c r="B186" s="18" t="n"/>
      <c r="C186" s="19" t="n"/>
      <c r="D186" s="18" t="n"/>
      <c r="E186" s="18" t="n"/>
      <c r="F186" s="10">
        <f>IF(C186="","",IF(C186&gt;=9,"Promotor",IF(C186&gt;=7,"Pasivo","Detractor")))</f>
        <v/>
      </c>
      <c r="G186" s="20">
        <f>IF(F186="","",IF(F186="Promotor","Pedir reseña o recomendación",IF(F186="Pasivo","Preguntar qué le falta para un 10","Llamada de una persona en menos de 48 horas")))</f>
        <v/>
      </c>
      <c r="H186" s="18" t="n"/>
      <c r="I186" s="19" t="n"/>
    </row>
    <row r="187">
      <c r="A187" s="17" t="n"/>
      <c r="B187" s="18" t="n"/>
      <c r="C187" s="19" t="n"/>
      <c r="D187" s="18" t="n"/>
      <c r="E187" s="18" t="n"/>
      <c r="F187" s="10">
        <f>IF(C187="","",IF(C187&gt;=9,"Promotor",IF(C187&gt;=7,"Pasivo","Detractor")))</f>
        <v/>
      </c>
      <c r="G187" s="20">
        <f>IF(F187="","",IF(F187="Promotor","Pedir reseña o recomendación",IF(F187="Pasivo","Preguntar qué le falta para un 10","Llamada de una persona en menos de 48 horas")))</f>
        <v/>
      </c>
      <c r="H187" s="18" t="n"/>
      <c r="I187" s="19" t="n"/>
    </row>
    <row r="188">
      <c r="A188" s="17" t="n"/>
      <c r="B188" s="18" t="n"/>
      <c r="C188" s="19" t="n"/>
      <c r="D188" s="18" t="n"/>
      <c r="E188" s="18" t="n"/>
      <c r="F188" s="10">
        <f>IF(C188="","",IF(C188&gt;=9,"Promotor",IF(C188&gt;=7,"Pasivo","Detractor")))</f>
        <v/>
      </c>
      <c r="G188" s="20">
        <f>IF(F188="","",IF(F188="Promotor","Pedir reseña o recomendación",IF(F188="Pasivo","Preguntar qué le falta para un 10","Llamada de una persona en menos de 48 horas")))</f>
        <v/>
      </c>
      <c r="H188" s="18" t="n"/>
      <c r="I188" s="19" t="n"/>
    </row>
    <row r="189">
      <c r="A189" s="17" t="n"/>
      <c r="B189" s="18" t="n"/>
      <c r="C189" s="19" t="n"/>
      <c r="D189" s="18" t="n"/>
      <c r="E189" s="18" t="n"/>
      <c r="F189" s="10">
        <f>IF(C189="","",IF(C189&gt;=9,"Promotor",IF(C189&gt;=7,"Pasivo","Detractor")))</f>
        <v/>
      </c>
      <c r="G189" s="20">
        <f>IF(F189="","",IF(F189="Promotor","Pedir reseña o recomendación",IF(F189="Pasivo","Preguntar qué le falta para un 10","Llamada de una persona en menos de 48 horas")))</f>
        <v/>
      </c>
      <c r="H189" s="18" t="n"/>
      <c r="I189" s="19" t="n"/>
    </row>
    <row r="190">
      <c r="A190" s="17" t="n"/>
      <c r="B190" s="18" t="n"/>
      <c r="C190" s="19" t="n"/>
      <c r="D190" s="18" t="n"/>
      <c r="E190" s="18" t="n"/>
      <c r="F190" s="10">
        <f>IF(C190="","",IF(C190&gt;=9,"Promotor",IF(C190&gt;=7,"Pasivo","Detractor")))</f>
        <v/>
      </c>
      <c r="G190" s="20">
        <f>IF(F190="","",IF(F190="Promotor","Pedir reseña o recomendación",IF(F190="Pasivo","Preguntar qué le falta para un 10","Llamada de una persona en menos de 48 horas")))</f>
        <v/>
      </c>
      <c r="H190" s="18" t="n"/>
      <c r="I190" s="19" t="n"/>
    </row>
    <row r="191">
      <c r="A191" s="17" t="n"/>
      <c r="B191" s="18" t="n"/>
      <c r="C191" s="19" t="n"/>
      <c r="D191" s="18" t="n"/>
      <c r="E191" s="18" t="n"/>
      <c r="F191" s="10">
        <f>IF(C191="","",IF(C191&gt;=9,"Promotor",IF(C191&gt;=7,"Pasivo","Detractor")))</f>
        <v/>
      </c>
      <c r="G191" s="20">
        <f>IF(F191="","",IF(F191="Promotor","Pedir reseña o recomendación",IF(F191="Pasivo","Preguntar qué le falta para un 10","Llamada de una persona en menos de 48 horas")))</f>
        <v/>
      </c>
      <c r="H191" s="18" t="n"/>
      <c r="I191" s="19" t="n"/>
    </row>
    <row r="192">
      <c r="A192" s="17" t="n"/>
      <c r="B192" s="18" t="n"/>
      <c r="C192" s="19" t="n"/>
      <c r="D192" s="18" t="n"/>
      <c r="E192" s="18" t="n"/>
      <c r="F192" s="10">
        <f>IF(C192="","",IF(C192&gt;=9,"Promotor",IF(C192&gt;=7,"Pasivo","Detractor")))</f>
        <v/>
      </c>
      <c r="G192" s="20">
        <f>IF(F192="","",IF(F192="Promotor","Pedir reseña o recomendación",IF(F192="Pasivo","Preguntar qué le falta para un 10","Llamada de una persona en menos de 48 horas")))</f>
        <v/>
      </c>
      <c r="H192" s="18" t="n"/>
      <c r="I192" s="19" t="n"/>
    </row>
    <row r="193">
      <c r="A193" s="17" t="n"/>
      <c r="B193" s="18" t="n"/>
      <c r="C193" s="19" t="n"/>
      <c r="D193" s="18" t="n"/>
      <c r="E193" s="18" t="n"/>
      <c r="F193" s="10">
        <f>IF(C193="","",IF(C193&gt;=9,"Promotor",IF(C193&gt;=7,"Pasivo","Detractor")))</f>
        <v/>
      </c>
      <c r="G193" s="20">
        <f>IF(F193="","",IF(F193="Promotor","Pedir reseña o recomendación",IF(F193="Pasivo","Preguntar qué le falta para un 10","Llamada de una persona en menos de 48 horas")))</f>
        <v/>
      </c>
      <c r="H193" s="18" t="n"/>
      <c r="I193" s="19" t="n"/>
    </row>
    <row r="194">
      <c r="A194" s="17" t="n"/>
      <c r="B194" s="18" t="n"/>
      <c r="C194" s="19" t="n"/>
      <c r="D194" s="18" t="n"/>
      <c r="E194" s="18" t="n"/>
      <c r="F194" s="10">
        <f>IF(C194="","",IF(C194&gt;=9,"Promotor",IF(C194&gt;=7,"Pasivo","Detractor")))</f>
        <v/>
      </c>
      <c r="G194" s="20">
        <f>IF(F194="","",IF(F194="Promotor","Pedir reseña o recomendación",IF(F194="Pasivo","Preguntar qué le falta para un 10","Llamada de una persona en menos de 48 horas")))</f>
        <v/>
      </c>
      <c r="H194" s="18" t="n"/>
      <c r="I194" s="19" t="n"/>
    </row>
    <row r="195">
      <c r="A195" s="17" t="n"/>
      <c r="B195" s="18" t="n"/>
      <c r="C195" s="19" t="n"/>
      <c r="D195" s="18" t="n"/>
      <c r="E195" s="18" t="n"/>
      <c r="F195" s="10">
        <f>IF(C195="","",IF(C195&gt;=9,"Promotor",IF(C195&gt;=7,"Pasivo","Detractor")))</f>
        <v/>
      </c>
      <c r="G195" s="20">
        <f>IF(F195="","",IF(F195="Promotor","Pedir reseña o recomendación",IF(F195="Pasivo","Preguntar qué le falta para un 10","Llamada de una persona en menos de 48 horas")))</f>
        <v/>
      </c>
      <c r="H195" s="18" t="n"/>
      <c r="I195" s="19" t="n"/>
    </row>
    <row r="196">
      <c r="A196" s="17" t="n"/>
      <c r="B196" s="18" t="n"/>
      <c r="C196" s="19" t="n"/>
      <c r="D196" s="18" t="n"/>
      <c r="E196" s="18" t="n"/>
      <c r="F196" s="10">
        <f>IF(C196="","",IF(C196&gt;=9,"Promotor",IF(C196&gt;=7,"Pasivo","Detractor")))</f>
        <v/>
      </c>
      <c r="G196" s="20">
        <f>IF(F196="","",IF(F196="Promotor","Pedir reseña o recomendación",IF(F196="Pasivo","Preguntar qué le falta para un 10","Llamada de una persona en menos de 48 horas")))</f>
        <v/>
      </c>
      <c r="H196" s="18" t="n"/>
      <c r="I196" s="19" t="n"/>
    </row>
    <row r="197">
      <c r="A197" s="17" t="n"/>
      <c r="B197" s="18" t="n"/>
      <c r="C197" s="19" t="n"/>
      <c r="D197" s="18" t="n"/>
      <c r="E197" s="18" t="n"/>
      <c r="F197" s="10">
        <f>IF(C197="","",IF(C197&gt;=9,"Promotor",IF(C197&gt;=7,"Pasivo","Detractor")))</f>
        <v/>
      </c>
      <c r="G197" s="20">
        <f>IF(F197="","",IF(F197="Promotor","Pedir reseña o recomendación",IF(F197="Pasivo","Preguntar qué le falta para un 10","Llamada de una persona en menos de 48 horas")))</f>
        <v/>
      </c>
      <c r="H197" s="18" t="n"/>
      <c r="I197" s="19" t="n"/>
    </row>
    <row r="198">
      <c r="A198" s="17" t="n"/>
      <c r="B198" s="18" t="n"/>
      <c r="C198" s="19" t="n"/>
      <c r="D198" s="18" t="n"/>
      <c r="E198" s="18" t="n"/>
      <c r="F198" s="10">
        <f>IF(C198="","",IF(C198&gt;=9,"Promotor",IF(C198&gt;=7,"Pasivo","Detractor")))</f>
        <v/>
      </c>
      <c r="G198" s="20">
        <f>IF(F198="","",IF(F198="Promotor","Pedir reseña o recomendación",IF(F198="Pasivo","Preguntar qué le falta para un 10","Llamada de una persona en menos de 48 horas")))</f>
        <v/>
      </c>
      <c r="H198" s="18" t="n"/>
      <c r="I198" s="19" t="n"/>
    </row>
    <row r="199">
      <c r="A199" s="17" t="n"/>
      <c r="B199" s="18" t="n"/>
      <c r="C199" s="19" t="n"/>
      <c r="D199" s="18" t="n"/>
      <c r="E199" s="18" t="n"/>
      <c r="F199" s="10">
        <f>IF(C199="","",IF(C199&gt;=9,"Promotor",IF(C199&gt;=7,"Pasivo","Detractor")))</f>
        <v/>
      </c>
      <c r="G199" s="20">
        <f>IF(F199="","",IF(F199="Promotor","Pedir reseña o recomendación",IF(F199="Pasivo","Preguntar qué le falta para un 10","Llamada de una persona en menos de 48 horas")))</f>
        <v/>
      </c>
      <c r="H199" s="18" t="n"/>
      <c r="I199" s="19" t="n"/>
    </row>
    <row r="200">
      <c r="A200" s="17" t="n"/>
      <c r="B200" s="18" t="n"/>
      <c r="C200" s="19" t="n"/>
      <c r="D200" s="18" t="n"/>
      <c r="E200" s="18" t="n"/>
      <c r="F200" s="10">
        <f>IF(C200="","",IF(C200&gt;=9,"Promotor",IF(C200&gt;=7,"Pasivo","Detractor")))</f>
        <v/>
      </c>
      <c r="G200" s="20">
        <f>IF(F200="","",IF(F200="Promotor","Pedir reseña o recomendación",IF(F200="Pasivo","Preguntar qué le falta para un 10","Llamada de una persona en menos de 48 horas")))</f>
        <v/>
      </c>
      <c r="H200" s="18" t="n"/>
      <c r="I200" s="19" t="n"/>
    </row>
    <row r="201">
      <c r="A201" s="17" t="n"/>
      <c r="B201" s="18" t="n"/>
      <c r="C201" s="19" t="n"/>
      <c r="D201" s="18" t="n"/>
      <c r="E201" s="18" t="n"/>
      <c r="F201" s="10">
        <f>IF(C201="","",IF(C201&gt;=9,"Promotor",IF(C201&gt;=7,"Pasivo","Detractor")))</f>
        <v/>
      </c>
      <c r="G201" s="20">
        <f>IF(F201="","",IF(F201="Promotor","Pedir reseña o recomendación",IF(F201="Pasivo","Preguntar qué le falta para un 10","Llamada de una persona en menos de 48 horas")))</f>
        <v/>
      </c>
      <c r="H201" s="18" t="n"/>
      <c r="I201" s="19" t="n"/>
    </row>
    <row r="202">
      <c r="A202" s="17" t="n"/>
      <c r="B202" s="18" t="n"/>
      <c r="C202" s="19" t="n"/>
      <c r="D202" s="18" t="n"/>
      <c r="E202" s="18" t="n"/>
      <c r="F202" s="10">
        <f>IF(C202="","",IF(C202&gt;=9,"Promotor",IF(C202&gt;=7,"Pasivo","Detractor")))</f>
        <v/>
      </c>
      <c r="G202" s="20">
        <f>IF(F202="","",IF(F202="Promotor","Pedir reseña o recomendación",IF(F202="Pasivo","Preguntar qué le falta para un 10","Llamada de una persona en menos de 48 horas")))</f>
        <v/>
      </c>
      <c r="H202" s="18" t="n"/>
      <c r="I202" s="19" t="n"/>
    </row>
    <row r="203">
      <c r="A203" s="17" t="n"/>
      <c r="B203" s="18" t="n"/>
      <c r="C203" s="19" t="n"/>
      <c r="D203" s="18" t="n"/>
      <c r="E203" s="18" t="n"/>
      <c r="F203" s="10">
        <f>IF(C203="","",IF(C203&gt;=9,"Promotor",IF(C203&gt;=7,"Pasivo","Detractor")))</f>
        <v/>
      </c>
      <c r="G203" s="20">
        <f>IF(F203="","",IF(F203="Promotor","Pedir reseña o recomendación",IF(F203="Pasivo","Preguntar qué le falta para un 10","Llamada de una persona en menos de 48 horas")))</f>
        <v/>
      </c>
      <c r="H203" s="18" t="n"/>
      <c r="I203" s="19" t="n"/>
    </row>
    <row r="204">
      <c r="A204" s="17" t="n"/>
      <c r="B204" s="18" t="n"/>
      <c r="C204" s="19" t="n"/>
      <c r="D204" s="18" t="n"/>
      <c r="E204" s="18" t="n"/>
      <c r="F204" s="10">
        <f>IF(C204="","",IF(C204&gt;=9,"Promotor",IF(C204&gt;=7,"Pasivo","Detractor")))</f>
        <v/>
      </c>
      <c r="G204" s="20">
        <f>IF(F204="","",IF(F204="Promotor","Pedir reseña o recomendación",IF(F204="Pasivo","Preguntar qué le falta para un 10","Llamada de una persona en menos de 48 horas")))</f>
        <v/>
      </c>
      <c r="H204" s="18" t="n"/>
      <c r="I204" s="19" t="n"/>
    </row>
    <row r="205">
      <c r="A205" s="17" t="n"/>
      <c r="B205" s="18" t="n"/>
      <c r="C205" s="19" t="n"/>
      <c r="D205" s="18" t="n"/>
      <c r="E205" s="18" t="n"/>
      <c r="F205" s="10">
        <f>IF(C205="","",IF(C205&gt;=9,"Promotor",IF(C205&gt;=7,"Pasivo","Detractor")))</f>
        <v/>
      </c>
      <c r="G205" s="20">
        <f>IF(F205="","",IF(F205="Promotor","Pedir reseña o recomendación",IF(F205="Pasivo","Preguntar qué le falta para un 10","Llamada de una persona en menos de 48 horas")))</f>
        <v/>
      </c>
      <c r="H205" s="18" t="n"/>
      <c r="I205" s="19" t="n"/>
    </row>
    <row r="206">
      <c r="A206" s="17" t="n"/>
      <c r="B206" s="18" t="n"/>
      <c r="C206" s="19" t="n"/>
      <c r="D206" s="18" t="n"/>
      <c r="E206" s="18" t="n"/>
      <c r="F206" s="10">
        <f>IF(C206="","",IF(C206&gt;=9,"Promotor",IF(C206&gt;=7,"Pasivo","Detractor")))</f>
        <v/>
      </c>
      <c r="G206" s="20">
        <f>IF(F206="","",IF(F206="Promotor","Pedir reseña o recomendación",IF(F206="Pasivo","Preguntar qué le falta para un 10","Llamada de una persona en menos de 48 horas")))</f>
        <v/>
      </c>
      <c r="H206" s="18" t="n"/>
      <c r="I206" s="19" t="n"/>
    </row>
    <row r="207">
      <c r="A207" s="17" t="n"/>
      <c r="B207" s="18" t="n"/>
      <c r="C207" s="19" t="n"/>
      <c r="D207" s="18" t="n"/>
      <c r="E207" s="18" t="n"/>
      <c r="F207" s="10">
        <f>IF(C207="","",IF(C207&gt;=9,"Promotor",IF(C207&gt;=7,"Pasivo","Detractor")))</f>
        <v/>
      </c>
      <c r="G207" s="20">
        <f>IF(F207="","",IF(F207="Promotor","Pedir reseña o recomendación",IF(F207="Pasivo","Preguntar qué le falta para un 10","Llamada de una persona en menos de 48 horas")))</f>
        <v/>
      </c>
      <c r="H207" s="18" t="n"/>
      <c r="I207" s="19" t="n"/>
    </row>
    <row r="208">
      <c r="A208" s="17" t="n"/>
      <c r="B208" s="18" t="n"/>
      <c r="C208" s="19" t="n"/>
      <c r="D208" s="18" t="n"/>
      <c r="E208" s="18" t="n"/>
      <c r="F208" s="10">
        <f>IF(C208="","",IF(C208&gt;=9,"Promotor",IF(C208&gt;=7,"Pasivo","Detractor")))</f>
        <v/>
      </c>
      <c r="G208" s="20">
        <f>IF(F208="","",IF(F208="Promotor","Pedir reseña o recomendación",IF(F208="Pasivo","Preguntar qué le falta para un 10","Llamada de una persona en menos de 48 horas")))</f>
        <v/>
      </c>
      <c r="H208" s="18" t="n"/>
      <c r="I208" s="19" t="n"/>
    </row>
    <row r="209">
      <c r="A209" s="17" t="n"/>
      <c r="B209" s="18" t="n"/>
      <c r="C209" s="19" t="n"/>
      <c r="D209" s="18" t="n"/>
      <c r="E209" s="18" t="n"/>
      <c r="F209" s="10">
        <f>IF(C209="","",IF(C209&gt;=9,"Promotor",IF(C209&gt;=7,"Pasivo","Detractor")))</f>
        <v/>
      </c>
      <c r="G209" s="20">
        <f>IF(F209="","",IF(F209="Promotor","Pedir reseña o recomendación",IF(F209="Pasivo","Preguntar qué le falta para un 10","Llamada de una persona en menos de 48 horas")))</f>
        <v/>
      </c>
      <c r="H209" s="18" t="n"/>
      <c r="I209" s="19" t="n"/>
    </row>
    <row r="210">
      <c r="A210" s="17" t="n"/>
      <c r="B210" s="18" t="n"/>
      <c r="C210" s="19" t="n"/>
      <c r="D210" s="18" t="n"/>
      <c r="E210" s="18" t="n"/>
      <c r="F210" s="10">
        <f>IF(C210="","",IF(C210&gt;=9,"Promotor",IF(C210&gt;=7,"Pasivo","Detractor")))</f>
        <v/>
      </c>
      <c r="G210" s="20">
        <f>IF(F210="","",IF(F210="Promotor","Pedir reseña o recomendación",IF(F210="Pasivo","Preguntar qué le falta para un 10","Llamada de una persona en menos de 48 horas")))</f>
        <v/>
      </c>
      <c r="H210" s="18" t="n"/>
      <c r="I210" s="19" t="n"/>
    </row>
    <row r="211">
      <c r="A211" s="17" t="n"/>
      <c r="B211" s="18" t="n"/>
      <c r="C211" s="19" t="n"/>
      <c r="D211" s="18" t="n"/>
      <c r="E211" s="18" t="n"/>
      <c r="F211" s="10">
        <f>IF(C211="","",IF(C211&gt;=9,"Promotor",IF(C211&gt;=7,"Pasivo","Detractor")))</f>
        <v/>
      </c>
      <c r="G211" s="20">
        <f>IF(F211="","",IF(F211="Promotor","Pedir reseña o recomendación",IF(F211="Pasivo","Preguntar qué le falta para un 10","Llamada de una persona en menos de 48 horas")))</f>
        <v/>
      </c>
      <c r="H211" s="18" t="n"/>
      <c r="I211" s="19" t="n"/>
    </row>
    <row r="212">
      <c r="A212" s="17" t="n"/>
      <c r="B212" s="18" t="n"/>
      <c r="C212" s="19" t="n"/>
      <c r="D212" s="18" t="n"/>
      <c r="E212" s="18" t="n"/>
      <c r="F212" s="10">
        <f>IF(C212="","",IF(C212&gt;=9,"Promotor",IF(C212&gt;=7,"Pasivo","Detractor")))</f>
        <v/>
      </c>
      <c r="G212" s="20">
        <f>IF(F212="","",IF(F212="Promotor","Pedir reseña o recomendación",IF(F212="Pasivo","Preguntar qué le falta para un 10","Llamada de una persona en menos de 48 horas")))</f>
        <v/>
      </c>
      <c r="H212" s="18" t="n"/>
      <c r="I212" s="19" t="n"/>
    </row>
    <row r="213">
      <c r="A213" s="17" t="n"/>
      <c r="B213" s="18" t="n"/>
      <c r="C213" s="19" t="n"/>
      <c r="D213" s="18" t="n"/>
      <c r="E213" s="18" t="n"/>
      <c r="F213" s="10">
        <f>IF(C213="","",IF(C213&gt;=9,"Promotor",IF(C213&gt;=7,"Pasivo","Detractor")))</f>
        <v/>
      </c>
      <c r="G213" s="20">
        <f>IF(F213="","",IF(F213="Promotor","Pedir reseña o recomendación",IF(F213="Pasivo","Preguntar qué le falta para un 10","Llamada de una persona en menos de 48 horas")))</f>
        <v/>
      </c>
      <c r="H213" s="18" t="n"/>
      <c r="I213" s="19" t="n"/>
    </row>
    <row r="214">
      <c r="A214" s="17" t="n"/>
      <c r="B214" s="18" t="n"/>
      <c r="C214" s="19" t="n"/>
      <c r="D214" s="18" t="n"/>
      <c r="E214" s="18" t="n"/>
      <c r="F214" s="10">
        <f>IF(C214="","",IF(C214&gt;=9,"Promotor",IF(C214&gt;=7,"Pasivo","Detractor")))</f>
        <v/>
      </c>
      <c r="G214" s="20">
        <f>IF(F214="","",IF(F214="Promotor","Pedir reseña o recomendación",IF(F214="Pasivo","Preguntar qué le falta para un 10","Llamada de una persona en menos de 48 horas")))</f>
        <v/>
      </c>
      <c r="H214" s="18" t="n"/>
      <c r="I214" s="19" t="n"/>
    </row>
    <row r="215">
      <c r="A215" s="17" t="n"/>
      <c r="B215" s="18" t="n"/>
      <c r="C215" s="19" t="n"/>
      <c r="D215" s="18" t="n"/>
      <c r="E215" s="18" t="n"/>
      <c r="F215" s="10">
        <f>IF(C215="","",IF(C215&gt;=9,"Promotor",IF(C215&gt;=7,"Pasivo","Detractor")))</f>
        <v/>
      </c>
      <c r="G215" s="20">
        <f>IF(F215="","",IF(F215="Promotor","Pedir reseña o recomendación",IF(F215="Pasivo","Preguntar qué le falta para un 10","Llamada de una persona en menos de 48 horas")))</f>
        <v/>
      </c>
      <c r="H215" s="18" t="n"/>
      <c r="I215" s="19" t="n"/>
    </row>
    <row r="216">
      <c r="A216" s="17" t="n"/>
      <c r="B216" s="18" t="n"/>
      <c r="C216" s="19" t="n"/>
      <c r="D216" s="18" t="n"/>
      <c r="E216" s="18" t="n"/>
      <c r="F216" s="10">
        <f>IF(C216="","",IF(C216&gt;=9,"Promotor",IF(C216&gt;=7,"Pasivo","Detractor")))</f>
        <v/>
      </c>
      <c r="G216" s="20">
        <f>IF(F216="","",IF(F216="Promotor","Pedir reseña o recomendación",IF(F216="Pasivo","Preguntar qué le falta para un 10","Llamada de una persona en menos de 48 horas")))</f>
        <v/>
      </c>
      <c r="H216" s="18" t="n"/>
      <c r="I216" s="19" t="n"/>
    </row>
    <row r="217">
      <c r="A217" s="17" t="n"/>
      <c r="B217" s="18" t="n"/>
      <c r="C217" s="19" t="n"/>
      <c r="D217" s="18" t="n"/>
      <c r="E217" s="18" t="n"/>
      <c r="F217" s="10">
        <f>IF(C217="","",IF(C217&gt;=9,"Promotor",IF(C217&gt;=7,"Pasivo","Detractor")))</f>
        <v/>
      </c>
      <c r="G217" s="20">
        <f>IF(F217="","",IF(F217="Promotor","Pedir reseña o recomendación",IF(F217="Pasivo","Preguntar qué le falta para un 10","Llamada de una persona en menos de 48 horas")))</f>
        <v/>
      </c>
      <c r="H217" s="18" t="n"/>
      <c r="I217" s="19" t="n"/>
    </row>
    <row r="218">
      <c r="A218" s="17" t="n"/>
      <c r="B218" s="18" t="n"/>
      <c r="C218" s="19" t="n"/>
      <c r="D218" s="18" t="n"/>
      <c r="E218" s="18" t="n"/>
      <c r="F218" s="10">
        <f>IF(C218="","",IF(C218&gt;=9,"Promotor",IF(C218&gt;=7,"Pasivo","Detractor")))</f>
        <v/>
      </c>
      <c r="G218" s="20">
        <f>IF(F218="","",IF(F218="Promotor","Pedir reseña o recomendación",IF(F218="Pasivo","Preguntar qué le falta para un 10","Llamada de una persona en menos de 48 horas")))</f>
        <v/>
      </c>
      <c r="H218" s="18" t="n"/>
      <c r="I218" s="19" t="n"/>
    </row>
    <row r="219">
      <c r="A219" s="17" t="n"/>
      <c r="B219" s="18" t="n"/>
      <c r="C219" s="19" t="n"/>
      <c r="D219" s="18" t="n"/>
      <c r="E219" s="18" t="n"/>
      <c r="F219" s="10">
        <f>IF(C219="","",IF(C219&gt;=9,"Promotor",IF(C219&gt;=7,"Pasivo","Detractor")))</f>
        <v/>
      </c>
      <c r="G219" s="20">
        <f>IF(F219="","",IF(F219="Promotor","Pedir reseña o recomendación",IF(F219="Pasivo","Preguntar qué le falta para un 10","Llamada de una persona en menos de 48 horas")))</f>
        <v/>
      </c>
      <c r="H219" s="18" t="n"/>
      <c r="I219" s="19" t="n"/>
    </row>
    <row r="220">
      <c r="A220" s="17" t="n"/>
      <c r="B220" s="18" t="n"/>
      <c r="C220" s="19" t="n"/>
      <c r="D220" s="18" t="n"/>
      <c r="E220" s="18" t="n"/>
      <c r="F220" s="10">
        <f>IF(C220="","",IF(C220&gt;=9,"Promotor",IF(C220&gt;=7,"Pasivo","Detractor")))</f>
        <v/>
      </c>
      <c r="G220" s="20">
        <f>IF(F220="","",IF(F220="Promotor","Pedir reseña o recomendación",IF(F220="Pasivo","Preguntar qué le falta para un 10","Llamada de una persona en menos de 48 horas")))</f>
        <v/>
      </c>
      <c r="H220" s="18" t="n"/>
      <c r="I220" s="19" t="n"/>
    </row>
    <row r="221">
      <c r="A221" s="17" t="n"/>
      <c r="B221" s="18" t="n"/>
      <c r="C221" s="19" t="n"/>
      <c r="D221" s="18" t="n"/>
      <c r="E221" s="18" t="n"/>
      <c r="F221" s="10">
        <f>IF(C221="","",IF(C221&gt;=9,"Promotor",IF(C221&gt;=7,"Pasivo","Detractor")))</f>
        <v/>
      </c>
      <c r="G221" s="20">
        <f>IF(F221="","",IF(F221="Promotor","Pedir reseña o recomendación",IF(F221="Pasivo","Preguntar qué le falta para un 10","Llamada de una persona en menos de 48 horas")))</f>
        <v/>
      </c>
      <c r="H221" s="18" t="n"/>
      <c r="I221" s="19" t="n"/>
    </row>
    <row r="222">
      <c r="A222" s="17" t="n"/>
      <c r="B222" s="18" t="n"/>
      <c r="C222" s="19" t="n"/>
      <c r="D222" s="18" t="n"/>
      <c r="E222" s="18" t="n"/>
      <c r="F222" s="10">
        <f>IF(C222="","",IF(C222&gt;=9,"Promotor",IF(C222&gt;=7,"Pasivo","Detractor")))</f>
        <v/>
      </c>
      <c r="G222" s="20">
        <f>IF(F222="","",IF(F222="Promotor","Pedir reseña o recomendación",IF(F222="Pasivo","Preguntar qué le falta para un 10","Llamada de una persona en menos de 48 horas")))</f>
        <v/>
      </c>
      <c r="H222" s="18" t="n"/>
      <c r="I222" s="19" t="n"/>
    </row>
    <row r="223">
      <c r="A223" s="17" t="n"/>
      <c r="B223" s="18" t="n"/>
      <c r="C223" s="19" t="n"/>
      <c r="D223" s="18" t="n"/>
      <c r="E223" s="18" t="n"/>
      <c r="F223" s="10">
        <f>IF(C223="","",IF(C223&gt;=9,"Promotor",IF(C223&gt;=7,"Pasivo","Detractor")))</f>
        <v/>
      </c>
      <c r="G223" s="20">
        <f>IF(F223="","",IF(F223="Promotor","Pedir reseña o recomendación",IF(F223="Pasivo","Preguntar qué le falta para un 10","Llamada de una persona en menos de 48 horas")))</f>
        <v/>
      </c>
      <c r="H223" s="18" t="n"/>
      <c r="I223" s="19" t="n"/>
    </row>
    <row r="224">
      <c r="A224" s="17" t="n"/>
      <c r="B224" s="18" t="n"/>
      <c r="C224" s="19" t="n"/>
      <c r="D224" s="18" t="n"/>
      <c r="E224" s="18" t="n"/>
      <c r="F224" s="10">
        <f>IF(C224="","",IF(C224&gt;=9,"Promotor",IF(C224&gt;=7,"Pasivo","Detractor")))</f>
        <v/>
      </c>
      <c r="G224" s="20">
        <f>IF(F224="","",IF(F224="Promotor","Pedir reseña o recomendación",IF(F224="Pasivo","Preguntar qué le falta para un 10","Llamada de una persona en menos de 48 horas")))</f>
        <v/>
      </c>
      <c r="H224" s="18" t="n"/>
      <c r="I224" s="19" t="n"/>
    </row>
    <row r="225">
      <c r="A225" s="17" t="n"/>
      <c r="B225" s="18" t="n"/>
      <c r="C225" s="19" t="n"/>
      <c r="D225" s="18" t="n"/>
      <c r="E225" s="18" t="n"/>
      <c r="F225" s="10">
        <f>IF(C225="","",IF(C225&gt;=9,"Promotor",IF(C225&gt;=7,"Pasivo","Detractor")))</f>
        <v/>
      </c>
      <c r="G225" s="20">
        <f>IF(F225="","",IF(F225="Promotor","Pedir reseña o recomendación",IF(F225="Pasivo","Preguntar qué le falta para un 10","Llamada de una persona en menos de 48 horas")))</f>
        <v/>
      </c>
      <c r="H225" s="18" t="n"/>
      <c r="I225" s="19" t="n"/>
    </row>
    <row r="226">
      <c r="A226" s="17" t="n"/>
      <c r="B226" s="18" t="n"/>
      <c r="C226" s="19" t="n"/>
      <c r="D226" s="18" t="n"/>
      <c r="E226" s="18" t="n"/>
      <c r="F226" s="10">
        <f>IF(C226="","",IF(C226&gt;=9,"Promotor",IF(C226&gt;=7,"Pasivo","Detractor")))</f>
        <v/>
      </c>
      <c r="G226" s="20">
        <f>IF(F226="","",IF(F226="Promotor","Pedir reseña o recomendación",IF(F226="Pasivo","Preguntar qué le falta para un 10","Llamada de una persona en menos de 48 horas")))</f>
        <v/>
      </c>
      <c r="H226" s="18" t="n"/>
      <c r="I226" s="19" t="n"/>
    </row>
    <row r="227">
      <c r="A227" s="17" t="n"/>
      <c r="B227" s="18" t="n"/>
      <c r="C227" s="19" t="n"/>
      <c r="D227" s="18" t="n"/>
      <c r="E227" s="18" t="n"/>
      <c r="F227" s="10">
        <f>IF(C227="","",IF(C227&gt;=9,"Promotor",IF(C227&gt;=7,"Pasivo","Detractor")))</f>
        <v/>
      </c>
      <c r="G227" s="20">
        <f>IF(F227="","",IF(F227="Promotor","Pedir reseña o recomendación",IF(F227="Pasivo","Preguntar qué le falta para un 10","Llamada de una persona en menos de 48 horas")))</f>
        <v/>
      </c>
      <c r="H227" s="18" t="n"/>
      <c r="I227" s="19" t="n"/>
    </row>
    <row r="228">
      <c r="A228" s="17" t="n"/>
      <c r="B228" s="18" t="n"/>
      <c r="C228" s="19" t="n"/>
      <c r="D228" s="18" t="n"/>
      <c r="E228" s="18" t="n"/>
      <c r="F228" s="10">
        <f>IF(C228="","",IF(C228&gt;=9,"Promotor",IF(C228&gt;=7,"Pasivo","Detractor")))</f>
        <v/>
      </c>
      <c r="G228" s="20">
        <f>IF(F228="","",IF(F228="Promotor","Pedir reseña o recomendación",IF(F228="Pasivo","Preguntar qué le falta para un 10","Llamada de una persona en menos de 48 horas")))</f>
        <v/>
      </c>
      <c r="H228" s="18" t="n"/>
      <c r="I228" s="19" t="n"/>
    </row>
    <row r="229">
      <c r="A229" s="17" t="n"/>
      <c r="B229" s="18" t="n"/>
      <c r="C229" s="19" t="n"/>
      <c r="D229" s="18" t="n"/>
      <c r="E229" s="18" t="n"/>
      <c r="F229" s="10">
        <f>IF(C229="","",IF(C229&gt;=9,"Promotor",IF(C229&gt;=7,"Pasivo","Detractor")))</f>
        <v/>
      </c>
      <c r="G229" s="20">
        <f>IF(F229="","",IF(F229="Promotor","Pedir reseña o recomendación",IF(F229="Pasivo","Preguntar qué le falta para un 10","Llamada de una persona en menos de 48 horas")))</f>
        <v/>
      </c>
      <c r="H229" s="18" t="n"/>
      <c r="I229" s="19" t="n"/>
    </row>
    <row r="230">
      <c r="A230" s="17" t="n"/>
      <c r="B230" s="18" t="n"/>
      <c r="C230" s="19" t="n"/>
      <c r="D230" s="18" t="n"/>
      <c r="E230" s="18" t="n"/>
      <c r="F230" s="10">
        <f>IF(C230="","",IF(C230&gt;=9,"Promotor",IF(C230&gt;=7,"Pasivo","Detractor")))</f>
        <v/>
      </c>
      <c r="G230" s="20">
        <f>IF(F230="","",IF(F230="Promotor","Pedir reseña o recomendación",IF(F230="Pasivo","Preguntar qué le falta para un 10","Llamada de una persona en menos de 48 horas")))</f>
        <v/>
      </c>
      <c r="H230" s="18" t="n"/>
      <c r="I230" s="19" t="n"/>
    </row>
    <row r="231">
      <c r="A231" s="17" t="n"/>
      <c r="B231" s="18" t="n"/>
      <c r="C231" s="19" t="n"/>
      <c r="D231" s="18" t="n"/>
      <c r="E231" s="18" t="n"/>
      <c r="F231" s="10">
        <f>IF(C231="","",IF(C231&gt;=9,"Promotor",IF(C231&gt;=7,"Pasivo","Detractor")))</f>
        <v/>
      </c>
      <c r="G231" s="20">
        <f>IF(F231="","",IF(F231="Promotor","Pedir reseña o recomendación",IF(F231="Pasivo","Preguntar qué le falta para un 10","Llamada de una persona en menos de 48 horas")))</f>
        <v/>
      </c>
      <c r="H231" s="18" t="n"/>
      <c r="I231" s="19" t="n"/>
    </row>
    <row r="232">
      <c r="A232" s="17" t="n"/>
      <c r="B232" s="18" t="n"/>
      <c r="C232" s="19" t="n"/>
      <c r="D232" s="18" t="n"/>
      <c r="E232" s="18" t="n"/>
      <c r="F232" s="10">
        <f>IF(C232="","",IF(C232&gt;=9,"Promotor",IF(C232&gt;=7,"Pasivo","Detractor")))</f>
        <v/>
      </c>
      <c r="G232" s="20">
        <f>IF(F232="","",IF(F232="Promotor","Pedir reseña o recomendación",IF(F232="Pasivo","Preguntar qué le falta para un 10","Llamada de una persona en menos de 48 horas")))</f>
        <v/>
      </c>
      <c r="H232" s="18" t="n"/>
      <c r="I232" s="19" t="n"/>
    </row>
    <row r="233">
      <c r="A233" s="17" t="n"/>
      <c r="B233" s="18" t="n"/>
      <c r="C233" s="19" t="n"/>
      <c r="D233" s="18" t="n"/>
      <c r="E233" s="18" t="n"/>
      <c r="F233" s="10">
        <f>IF(C233="","",IF(C233&gt;=9,"Promotor",IF(C233&gt;=7,"Pasivo","Detractor")))</f>
        <v/>
      </c>
      <c r="G233" s="20">
        <f>IF(F233="","",IF(F233="Promotor","Pedir reseña o recomendación",IF(F233="Pasivo","Preguntar qué le falta para un 10","Llamada de una persona en menos de 48 horas")))</f>
        <v/>
      </c>
      <c r="H233" s="18" t="n"/>
      <c r="I233" s="19" t="n"/>
    </row>
    <row r="234">
      <c r="A234" s="17" t="n"/>
      <c r="B234" s="18" t="n"/>
      <c r="C234" s="19" t="n"/>
      <c r="D234" s="18" t="n"/>
      <c r="E234" s="18" t="n"/>
      <c r="F234" s="10">
        <f>IF(C234="","",IF(C234&gt;=9,"Promotor",IF(C234&gt;=7,"Pasivo","Detractor")))</f>
        <v/>
      </c>
      <c r="G234" s="20">
        <f>IF(F234="","",IF(F234="Promotor","Pedir reseña o recomendación",IF(F234="Pasivo","Preguntar qué le falta para un 10","Llamada de una persona en menos de 48 horas")))</f>
        <v/>
      </c>
      <c r="H234" s="18" t="n"/>
      <c r="I234" s="19" t="n"/>
    </row>
    <row r="235">
      <c r="A235" s="17" t="n"/>
      <c r="B235" s="18" t="n"/>
      <c r="C235" s="19" t="n"/>
      <c r="D235" s="18" t="n"/>
      <c r="E235" s="18" t="n"/>
      <c r="F235" s="10">
        <f>IF(C235="","",IF(C235&gt;=9,"Promotor",IF(C235&gt;=7,"Pasivo","Detractor")))</f>
        <v/>
      </c>
      <c r="G235" s="20">
        <f>IF(F235="","",IF(F235="Promotor","Pedir reseña o recomendación",IF(F235="Pasivo","Preguntar qué le falta para un 10","Llamada de una persona en menos de 48 horas")))</f>
        <v/>
      </c>
      <c r="H235" s="18" t="n"/>
      <c r="I235" s="19" t="n"/>
    </row>
    <row r="236">
      <c r="A236" s="17" t="n"/>
      <c r="B236" s="18" t="n"/>
      <c r="C236" s="19" t="n"/>
      <c r="D236" s="18" t="n"/>
      <c r="E236" s="18" t="n"/>
      <c r="F236" s="10">
        <f>IF(C236="","",IF(C236&gt;=9,"Promotor",IF(C236&gt;=7,"Pasivo","Detractor")))</f>
        <v/>
      </c>
      <c r="G236" s="20">
        <f>IF(F236="","",IF(F236="Promotor","Pedir reseña o recomendación",IF(F236="Pasivo","Preguntar qué le falta para un 10","Llamada de una persona en menos de 48 horas")))</f>
        <v/>
      </c>
      <c r="H236" s="18" t="n"/>
      <c r="I236" s="19" t="n"/>
    </row>
    <row r="237">
      <c r="A237" s="17" t="n"/>
      <c r="B237" s="18" t="n"/>
      <c r="C237" s="19" t="n"/>
      <c r="D237" s="18" t="n"/>
      <c r="E237" s="18" t="n"/>
      <c r="F237" s="10">
        <f>IF(C237="","",IF(C237&gt;=9,"Promotor",IF(C237&gt;=7,"Pasivo","Detractor")))</f>
        <v/>
      </c>
      <c r="G237" s="20">
        <f>IF(F237="","",IF(F237="Promotor","Pedir reseña o recomendación",IF(F237="Pasivo","Preguntar qué le falta para un 10","Llamada de una persona en menos de 48 horas")))</f>
        <v/>
      </c>
      <c r="H237" s="18" t="n"/>
      <c r="I237" s="19" t="n"/>
    </row>
    <row r="238">
      <c r="A238" s="17" t="n"/>
      <c r="B238" s="18" t="n"/>
      <c r="C238" s="19" t="n"/>
      <c r="D238" s="18" t="n"/>
      <c r="E238" s="18" t="n"/>
      <c r="F238" s="10">
        <f>IF(C238="","",IF(C238&gt;=9,"Promotor",IF(C238&gt;=7,"Pasivo","Detractor")))</f>
        <v/>
      </c>
      <c r="G238" s="20">
        <f>IF(F238="","",IF(F238="Promotor","Pedir reseña o recomendación",IF(F238="Pasivo","Preguntar qué le falta para un 10","Llamada de una persona en menos de 48 horas")))</f>
        <v/>
      </c>
      <c r="H238" s="18" t="n"/>
      <c r="I238" s="19" t="n"/>
    </row>
    <row r="239">
      <c r="A239" s="17" t="n"/>
      <c r="B239" s="18" t="n"/>
      <c r="C239" s="19" t="n"/>
      <c r="D239" s="18" t="n"/>
      <c r="E239" s="18" t="n"/>
      <c r="F239" s="10">
        <f>IF(C239="","",IF(C239&gt;=9,"Promotor",IF(C239&gt;=7,"Pasivo","Detractor")))</f>
        <v/>
      </c>
      <c r="G239" s="20">
        <f>IF(F239="","",IF(F239="Promotor","Pedir reseña o recomendación",IF(F239="Pasivo","Preguntar qué le falta para un 10","Llamada de una persona en menos de 48 horas")))</f>
        <v/>
      </c>
      <c r="H239" s="18" t="n"/>
      <c r="I239" s="19" t="n"/>
    </row>
    <row r="240">
      <c r="A240" s="17" t="n"/>
      <c r="B240" s="18" t="n"/>
      <c r="C240" s="19" t="n"/>
      <c r="D240" s="18" t="n"/>
      <c r="E240" s="18" t="n"/>
      <c r="F240" s="10">
        <f>IF(C240="","",IF(C240&gt;=9,"Promotor",IF(C240&gt;=7,"Pasivo","Detractor")))</f>
        <v/>
      </c>
      <c r="G240" s="20">
        <f>IF(F240="","",IF(F240="Promotor","Pedir reseña o recomendación",IF(F240="Pasivo","Preguntar qué le falta para un 10","Llamada de una persona en menos de 48 horas")))</f>
        <v/>
      </c>
      <c r="H240" s="18" t="n"/>
      <c r="I240" s="19" t="n"/>
    </row>
    <row r="241">
      <c r="A241" s="17" t="n"/>
      <c r="B241" s="18" t="n"/>
      <c r="C241" s="19" t="n"/>
      <c r="D241" s="18" t="n"/>
      <c r="E241" s="18" t="n"/>
      <c r="F241" s="10">
        <f>IF(C241="","",IF(C241&gt;=9,"Promotor",IF(C241&gt;=7,"Pasivo","Detractor")))</f>
        <v/>
      </c>
      <c r="G241" s="20">
        <f>IF(F241="","",IF(F241="Promotor","Pedir reseña o recomendación",IF(F241="Pasivo","Preguntar qué le falta para un 10","Llamada de una persona en menos de 48 horas")))</f>
        <v/>
      </c>
      <c r="H241" s="18" t="n"/>
      <c r="I241" s="19" t="n"/>
    </row>
    <row r="242">
      <c r="A242" s="17" t="n"/>
      <c r="B242" s="18" t="n"/>
      <c r="C242" s="19" t="n"/>
      <c r="D242" s="18" t="n"/>
      <c r="E242" s="18" t="n"/>
      <c r="F242" s="10">
        <f>IF(C242="","",IF(C242&gt;=9,"Promotor",IF(C242&gt;=7,"Pasivo","Detractor")))</f>
        <v/>
      </c>
      <c r="G242" s="20">
        <f>IF(F242="","",IF(F242="Promotor","Pedir reseña o recomendación",IF(F242="Pasivo","Preguntar qué le falta para un 10","Llamada de una persona en menos de 48 horas")))</f>
        <v/>
      </c>
      <c r="H242" s="18" t="n"/>
      <c r="I242" s="19" t="n"/>
    </row>
    <row r="243">
      <c r="A243" s="17" t="n"/>
      <c r="B243" s="18" t="n"/>
      <c r="C243" s="19" t="n"/>
      <c r="D243" s="18" t="n"/>
      <c r="E243" s="18" t="n"/>
      <c r="F243" s="10">
        <f>IF(C243="","",IF(C243&gt;=9,"Promotor",IF(C243&gt;=7,"Pasivo","Detractor")))</f>
        <v/>
      </c>
      <c r="G243" s="20">
        <f>IF(F243="","",IF(F243="Promotor","Pedir reseña o recomendación",IF(F243="Pasivo","Preguntar qué le falta para un 10","Llamada de una persona en menos de 48 horas")))</f>
        <v/>
      </c>
      <c r="H243" s="18" t="n"/>
      <c r="I243" s="19" t="n"/>
    </row>
    <row r="244">
      <c r="A244" s="17" t="n"/>
      <c r="B244" s="18" t="n"/>
      <c r="C244" s="19" t="n"/>
      <c r="D244" s="18" t="n"/>
      <c r="E244" s="18" t="n"/>
      <c r="F244" s="10">
        <f>IF(C244="","",IF(C244&gt;=9,"Promotor",IF(C244&gt;=7,"Pasivo","Detractor")))</f>
        <v/>
      </c>
      <c r="G244" s="20">
        <f>IF(F244="","",IF(F244="Promotor","Pedir reseña o recomendación",IF(F244="Pasivo","Preguntar qué le falta para un 10","Llamada de una persona en menos de 48 horas")))</f>
        <v/>
      </c>
      <c r="H244" s="18" t="n"/>
      <c r="I244" s="19" t="n"/>
    </row>
    <row r="245">
      <c r="A245" s="17" t="n"/>
      <c r="B245" s="18" t="n"/>
      <c r="C245" s="19" t="n"/>
      <c r="D245" s="18" t="n"/>
      <c r="E245" s="18" t="n"/>
      <c r="F245" s="10">
        <f>IF(C245="","",IF(C245&gt;=9,"Promotor",IF(C245&gt;=7,"Pasivo","Detractor")))</f>
        <v/>
      </c>
      <c r="G245" s="20">
        <f>IF(F245="","",IF(F245="Promotor","Pedir reseña o recomendación",IF(F245="Pasivo","Preguntar qué le falta para un 10","Llamada de una persona en menos de 48 horas")))</f>
        <v/>
      </c>
      <c r="H245" s="18" t="n"/>
      <c r="I245" s="19" t="n"/>
    </row>
    <row r="246">
      <c r="A246" s="17" t="n"/>
      <c r="B246" s="18" t="n"/>
      <c r="C246" s="19" t="n"/>
      <c r="D246" s="18" t="n"/>
      <c r="E246" s="18" t="n"/>
      <c r="F246" s="10">
        <f>IF(C246="","",IF(C246&gt;=9,"Promotor",IF(C246&gt;=7,"Pasivo","Detractor")))</f>
        <v/>
      </c>
      <c r="G246" s="20">
        <f>IF(F246="","",IF(F246="Promotor","Pedir reseña o recomendación",IF(F246="Pasivo","Preguntar qué le falta para un 10","Llamada de una persona en menos de 48 horas")))</f>
        <v/>
      </c>
      <c r="H246" s="18" t="n"/>
      <c r="I246" s="19" t="n"/>
    </row>
    <row r="247">
      <c r="A247" s="17" t="n"/>
      <c r="B247" s="18" t="n"/>
      <c r="C247" s="19" t="n"/>
      <c r="D247" s="18" t="n"/>
      <c r="E247" s="18" t="n"/>
      <c r="F247" s="10">
        <f>IF(C247="","",IF(C247&gt;=9,"Promotor",IF(C247&gt;=7,"Pasivo","Detractor")))</f>
        <v/>
      </c>
      <c r="G247" s="20">
        <f>IF(F247="","",IF(F247="Promotor","Pedir reseña o recomendación",IF(F247="Pasivo","Preguntar qué le falta para un 10","Llamada de una persona en menos de 48 horas")))</f>
        <v/>
      </c>
      <c r="H247" s="18" t="n"/>
      <c r="I247" s="19" t="n"/>
    </row>
    <row r="248">
      <c r="A248" s="17" t="n"/>
      <c r="B248" s="18" t="n"/>
      <c r="C248" s="19" t="n"/>
      <c r="D248" s="18" t="n"/>
      <c r="E248" s="18" t="n"/>
      <c r="F248" s="10">
        <f>IF(C248="","",IF(C248&gt;=9,"Promotor",IF(C248&gt;=7,"Pasivo","Detractor")))</f>
        <v/>
      </c>
      <c r="G248" s="20">
        <f>IF(F248="","",IF(F248="Promotor","Pedir reseña o recomendación",IF(F248="Pasivo","Preguntar qué le falta para un 10","Llamada de una persona en menos de 48 horas")))</f>
        <v/>
      </c>
      <c r="H248" s="18" t="n"/>
      <c r="I248" s="19" t="n"/>
    </row>
    <row r="249">
      <c r="A249" s="17" t="n"/>
      <c r="B249" s="18" t="n"/>
      <c r="C249" s="19" t="n"/>
      <c r="D249" s="18" t="n"/>
      <c r="E249" s="18" t="n"/>
      <c r="F249" s="10">
        <f>IF(C249="","",IF(C249&gt;=9,"Promotor",IF(C249&gt;=7,"Pasivo","Detractor")))</f>
        <v/>
      </c>
      <c r="G249" s="20">
        <f>IF(F249="","",IF(F249="Promotor","Pedir reseña o recomendación",IF(F249="Pasivo","Preguntar qué le falta para un 10","Llamada de una persona en menos de 48 horas")))</f>
        <v/>
      </c>
      <c r="H249" s="18" t="n"/>
      <c r="I249" s="19" t="n"/>
    </row>
    <row r="250">
      <c r="A250" s="17" t="n"/>
      <c r="B250" s="18" t="n"/>
      <c r="C250" s="19" t="n"/>
      <c r="D250" s="18" t="n"/>
      <c r="E250" s="18" t="n"/>
      <c r="F250" s="10">
        <f>IF(C250="","",IF(C250&gt;=9,"Promotor",IF(C250&gt;=7,"Pasivo","Detractor")))</f>
        <v/>
      </c>
      <c r="G250" s="20">
        <f>IF(F250="","",IF(F250="Promotor","Pedir reseña o recomendación",IF(F250="Pasivo","Preguntar qué le falta para un 10","Llamada de una persona en menos de 48 horas")))</f>
        <v/>
      </c>
      <c r="H250" s="18" t="n"/>
      <c r="I250" s="19" t="n"/>
    </row>
    <row r="251">
      <c r="A251" s="17" t="n"/>
      <c r="B251" s="18" t="n"/>
      <c r="C251" s="19" t="n"/>
      <c r="D251" s="18" t="n"/>
      <c r="E251" s="18" t="n"/>
      <c r="F251" s="10">
        <f>IF(C251="","",IF(C251&gt;=9,"Promotor",IF(C251&gt;=7,"Pasivo","Detractor")))</f>
        <v/>
      </c>
      <c r="G251" s="20">
        <f>IF(F251="","",IF(F251="Promotor","Pedir reseña o recomendación",IF(F251="Pasivo","Preguntar qué le falta para un 10","Llamada de una persona en menos de 48 horas")))</f>
        <v/>
      </c>
      <c r="H251" s="18" t="n"/>
      <c r="I251" s="19" t="n"/>
    </row>
    <row r="252">
      <c r="A252" s="17" t="n"/>
      <c r="B252" s="18" t="n"/>
      <c r="C252" s="19" t="n"/>
      <c r="D252" s="18" t="n"/>
      <c r="E252" s="18" t="n"/>
      <c r="F252" s="10">
        <f>IF(C252="","",IF(C252&gt;=9,"Promotor",IF(C252&gt;=7,"Pasivo","Detractor")))</f>
        <v/>
      </c>
      <c r="G252" s="20">
        <f>IF(F252="","",IF(F252="Promotor","Pedir reseña o recomendación",IF(F252="Pasivo","Preguntar qué le falta para un 10","Llamada de una persona en menos de 48 horas")))</f>
        <v/>
      </c>
      <c r="H252" s="18" t="n"/>
      <c r="I252" s="19" t="n"/>
    </row>
    <row r="253">
      <c r="A253" s="17" t="n"/>
      <c r="B253" s="18" t="n"/>
      <c r="C253" s="19" t="n"/>
      <c r="D253" s="18" t="n"/>
      <c r="E253" s="18" t="n"/>
      <c r="F253" s="10">
        <f>IF(C253="","",IF(C253&gt;=9,"Promotor",IF(C253&gt;=7,"Pasivo","Detractor")))</f>
        <v/>
      </c>
      <c r="G253" s="20">
        <f>IF(F253="","",IF(F253="Promotor","Pedir reseña o recomendación",IF(F253="Pasivo","Preguntar qué le falta para un 10","Llamada de una persona en menos de 48 horas")))</f>
        <v/>
      </c>
      <c r="H253" s="18" t="n"/>
      <c r="I253" s="19" t="n"/>
    </row>
    <row r="254">
      <c r="A254" s="17" t="n"/>
      <c r="B254" s="18" t="n"/>
      <c r="C254" s="19" t="n"/>
      <c r="D254" s="18" t="n"/>
      <c r="E254" s="18" t="n"/>
      <c r="F254" s="10">
        <f>IF(C254="","",IF(C254&gt;=9,"Promotor",IF(C254&gt;=7,"Pasivo","Detractor")))</f>
        <v/>
      </c>
      <c r="G254" s="20">
        <f>IF(F254="","",IF(F254="Promotor","Pedir reseña o recomendación",IF(F254="Pasivo","Preguntar qué le falta para un 10","Llamada de una persona en menos de 48 horas")))</f>
        <v/>
      </c>
      <c r="H254" s="18" t="n"/>
      <c r="I254" s="19" t="n"/>
    </row>
    <row r="255">
      <c r="A255" s="17" t="n"/>
      <c r="B255" s="18" t="n"/>
      <c r="C255" s="19" t="n"/>
      <c r="D255" s="18" t="n"/>
      <c r="E255" s="18" t="n"/>
      <c r="F255" s="10">
        <f>IF(C255="","",IF(C255&gt;=9,"Promotor",IF(C255&gt;=7,"Pasivo","Detractor")))</f>
        <v/>
      </c>
      <c r="G255" s="20">
        <f>IF(F255="","",IF(F255="Promotor","Pedir reseña o recomendación",IF(F255="Pasivo","Preguntar qué le falta para un 10","Llamada de una persona en menos de 48 horas")))</f>
        <v/>
      </c>
      <c r="H255" s="18" t="n"/>
      <c r="I255" s="19" t="n"/>
    </row>
    <row r="256">
      <c r="A256" s="17" t="n"/>
      <c r="B256" s="18" t="n"/>
      <c r="C256" s="19" t="n"/>
      <c r="D256" s="18" t="n"/>
      <c r="E256" s="18" t="n"/>
      <c r="F256" s="10">
        <f>IF(C256="","",IF(C256&gt;=9,"Promotor",IF(C256&gt;=7,"Pasivo","Detractor")))</f>
        <v/>
      </c>
      <c r="G256" s="20">
        <f>IF(F256="","",IF(F256="Promotor","Pedir reseña o recomendación",IF(F256="Pasivo","Preguntar qué le falta para un 10","Llamada de una persona en menos de 48 horas")))</f>
        <v/>
      </c>
      <c r="H256" s="18" t="n"/>
      <c r="I256" s="19" t="n"/>
    </row>
    <row r="257">
      <c r="A257" s="17" t="n"/>
      <c r="B257" s="18" t="n"/>
      <c r="C257" s="19" t="n"/>
      <c r="D257" s="18" t="n"/>
      <c r="E257" s="18" t="n"/>
      <c r="F257" s="10">
        <f>IF(C257="","",IF(C257&gt;=9,"Promotor",IF(C257&gt;=7,"Pasivo","Detractor")))</f>
        <v/>
      </c>
      <c r="G257" s="20">
        <f>IF(F257="","",IF(F257="Promotor","Pedir reseña o recomendación",IF(F257="Pasivo","Preguntar qué le falta para un 10","Llamada de una persona en menos de 48 horas")))</f>
        <v/>
      </c>
      <c r="H257" s="18" t="n"/>
      <c r="I257" s="19" t="n"/>
    </row>
    <row r="258">
      <c r="A258" s="17" t="n"/>
      <c r="B258" s="18" t="n"/>
      <c r="C258" s="19" t="n"/>
      <c r="D258" s="18" t="n"/>
      <c r="E258" s="18" t="n"/>
      <c r="F258" s="10">
        <f>IF(C258="","",IF(C258&gt;=9,"Promotor",IF(C258&gt;=7,"Pasivo","Detractor")))</f>
        <v/>
      </c>
      <c r="G258" s="20">
        <f>IF(F258="","",IF(F258="Promotor","Pedir reseña o recomendación",IF(F258="Pasivo","Preguntar qué le falta para un 10","Llamada de una persona en menos de 48 horas")))</f>
        <v/>
      </c>
      <c r="H258" s="18" t="n"/>
      <c r="I258" s="19" t="n"/>
    </row>
    <row r="259">
      <c r="A259" s="17" t="n"/>
      <c r="B259" s="18" t="n"/>
      <c r="C259" s="19" t="n"/>
      <c r="D259" s="18" t="n"/>
      <c r="E259" s="18" t="n"/>
      <c r="F259" s="10">
        <f>IF(C259="","",IF(C259&gt;=9,"Promotor",IF(C259&gt;=7,"Pasivo","Detractor")))</f>
        <v/>
      </c>
      <c r="G259" s="20">
        <f>IF(F259="","",IF(F259="Promotor","Pedir reseña o recomendación",IF(F259="Pasivo","Preguntar qué le falta para un 10","Llamada de una persona en menos de 48 horas")))</f>
        <v/>
      </c>
      <c r="H259" s="18" t="n"/>
      <c r="I259" s="19" t="n"/>
    </row>
    <row r="260">
      <c r="A260" s="17" t="n"/>
      <c r="B260" s="18" t="n"/>
      <c r="C260" s="19" t="n"/>
      <c r="D260" s="18" t="n"/>
      <c r="E260" s="18" t="n"/>
      <c r="F260" s="10">
        <f>IF(C260="","",IF(C260&gt;=9,"Promotor",IF(C260&gt;=7,"Pasivo","Detractor")))</f>
        <v/>
      </c>
      <c r="G260" s="20">
        <f>IF(F260="","",IF(F260="Promotor","Pedir reseña o recomendación",IF(F260="Pasivo","Preguntar qué le falta para un 10","Llamada de una persona en menos de 48 horas")))</f>
        <v/>
      </c>
      <c r="H260" s="18" t="n"/>
      <c r="I260" s="19" t="n"/>
    </row>
    <row r="261">
      <c r="A261" s="17" t="n"/>
      <c r="B261" s="18" t="n"/>
      <c r="C261" s="19" t="n"/>
      <c r="D261" s="18" t="n"/>
      <c r="E261" s="18" t="n"/>
      <c r="F261" s="10">
        <f>IF(C261="","",IF(C261&gt;=9,"Promotor",IF(C261&gt;=7,"Pasivo","Detractor")))</f>
        <v/>
      </c>
      <c r="G261" s="20">
        <f>IF(F261="","",IF(F261="Promotor","Pedir reseña o recomendación",IF(F261="Pasivo","Preguntar qué le falta para un 10","Llamada de una persona en menos de 48 horas")))</f>
        <v/>
      </c>
      <c r="H261" s="18" t="n"/>
      <c r="I261" s="19" t="n"/>
    </row>
    <row r="262">
      <c r="A262" s="17" t="n"/>
      <c r="B262" s="18" t="n"/>
      <c r="C262" s="19" t="n"/>
      <c r="D262" s="18" t="n"/>
      <c r="E262" s="18" t="n"/>
      <c r="F262" s="10">
        <f>IF(C262="","",IF(C262&gt;=9,"Promotor",IF(C262&gt;=7,"Pasivo","Detractor")))</f>
        <v/>
      </c>
      <c r="G262" s="20">
        <f>IF(F262="","",IF(F262="Promotor","Pedir reseña o recomendación",IF(F262="Pasivo","Preguntar qué le falta para un 10","Llamada de una persona en menos de 48 horas")))</f>
        <v/>
      </c>
      <c r="H262" s="18" t="n"/>
      <c r="I262" s="19" t="n"/>
    </row>
    <row r="263">
      <c r="A263" s="17" t="n"/>
      <c r="B263" s="18" t="n"/>
      <c r="C263" s="19" t="n"/>
      <c r="D263" s="18" t="n"/>
      <c r="E263" s="18" t="n"/>
      <c r="F263" s="10">
        <f>IF(C263="","",IF(C263&gt;=9,"Promotor",IF(C263&gt;=7,"Pasivo","Detractor")))</f>
        <v/>
      </c>
      <c r="G263" s="20">
        <f>IF(F263="","",IF(F263="Promotor","Pedir reseña o recomendación",IF(F263="Pasivo","Preguntar qué le falta para un 10","Llamada de una persona en menos de 48 horas")))</f>
        <v/>
      </c>
      <c r="H263" s="18" t="n"/>
      <c r="I263" s="19" t="n"/>
    </row>
    <row r="264">
      <c r="A264" s="17" t="n"/>
      <c r="B264" s="18" t="n"/>
      <c r="C264" s="19" t="n"/>
      <c r="D264" s="18" t="n"/>
      <c r="E264" s="18" t="n"/>
      <c r="F264" s="10">
        <f>IF(C264="","",IF(C264&gt;=9,"Promotor",IF(C264&gt;=7,"Pasivo","Detractor")))</f>
        <v/>
      </c>
      <c r="G264" s="20">
        <f>IF(F264="","",IF(F264="Promotor","Pedir reseña o recomendación",IF(F264="Pasivo","Preguntar qué le falta para un 10","Llamada de una persona en menos de 48 horas")))</f>
        <v/>
      </c>
      <c r="H264" s="18" t="n"/>
      <c r="I264" s="19" t="n"/>
    </row>
    <row r="265">
      <c r="A265" s="17" t="n"/>
      <c r="B265" s="18" t="n"/>
      <c r="C265" s="19" t="n"/>
      <c r="D265" s="18" t="n"/>
      <c r="E265" s="18" t="n"/>
      <c r="F265" s="10">
        <f>IF(C265="","",IF(C265&gt;=9,"Promotor",IF(C265&gt;=7,"Pasivo","Detractor")))</f>
        <v/>
      </c>
      <c r="G265" s="20">
        <f>IF(F265="","",IF(F265="Promotor","Pedir reseña o recomendación",IF(F265="Pasivo","Preguntar qué le falta para un 10","Llamada de una persona en menos de 48 horas")))</f>
        <v/>
      </c>
      <c r="H265" s="18" t="n"/>
      <c r="I265" s="19" t="n"/>
    </row>
    <row r="266">
      <c r="A266" s="17" t="n"/>
      <c r="B266" s="18" t="n"/>
      <c r="C266" s="19" t="n"/>
      <c r="D266" s="18" t="n"/>
      <c r="E266" s="18" t="n"/>
      <c r="F266" s="10">
        <f>IF(C266="","",IF(C266&gt;=9,"Promotor",IF(C266&gt;=7,"Pasivo","Detractor")))</f>
        <v/>
      </c>
      <c r="G266" s="20">
        <f>IF(F266="","",IF(F266="Promotor","Pedir reseña o recomendación",IF(F266="Pasivo","Preguntar qué le falta para un 10","Llamada de una persona en menos de 48 horas")))</f>
        <v/>
      </c>
      <c r="H266" s="18" t="n"/>
      <c r="I266" s="19" t="n"/>
    </row>
    <row r="267">
      <c r="A267" s="17" t="n"/>
      <c r="B267" s="18" t="n"/>
      <c r="C267" s="19" t="n"/>
      <c r="D267" s="18" t="n"/>
      <c r="E267" s="18" t="n"/>
      <c r="F267" s="10">
        <f>IF(C267="","",IF(C267&gt;=9,"Promotor",IF(C267&gt;=7,"Pasivo","Detractor")))</f>
        <v/>
      </c>
      <c r="G267" s="20">
        <f>IF(F267="","",IF(F267="Promotor","Pedir reseña o recomendación",IF(F267="Pasivo","Preguntar qué le falta para un 10","Llamada de una persona en menos de 48 horas")))</f>
        <v/>
      </c>
      <c r="H267" s="18" t="n"/>
      <c r="I267" s="19" t="n"/>
    </row>
    <row r="268">
      <c r="A268" s="17" t="n"/>
      <c r="B268" s="18" t="n"/>
      <c r="C268" s="19" t="n"/>
      <c r="D268" s="18" t="n"/>
      <c r="E268" s="18" t="n"/>
      <c r="F268" s="10">
        <f>IF(C268="","",IF(C268&gt;=9,"Promotor",IF(C268&gt;=7,"Pasivo","Detractor")))</f>
        <v/>
      </c>
      <c r="G268" s="20">
        <f>IF(F268="","",IF(F268="Promotor","Pedir reseña o recomendación",IF(F268="Pasivo","Preguntar qué le falta para un 10","Llamada de una persona en menos de 48 horas")))</f>
        <v/>
      </c>
      <c r="H268" s="18" t="n"/>
      <c r="I268" s="19" t="n"/>
    </row>
    <row r="269">
      <c r="A269" s="17" t="n"/>
      <c r="B269" s="18" t="n"/>
      <c r="C269" s="19" t="n"/>
      <c r="D269" s="18" t="n"/>
      <c r="E269" s="18" t="n"/>
      <c r="F269" s="10">
        <f>IF(C269="","",IF(C269&gt;=9,"Promotor",IF(C269&gt;=7,"Pasivo","Detractor")))</f>
        <v/>
      </c>
      <c r="G269" s="20">
        <f>IF(F269="","",IF(F269="Promotor","Pedir reseña o recomendación",IF(F269="Pasivo","Preguntar qué le falta para un 10","Llamada de una persona en menos de 48 horas")))</f>
        <v/>
      </c>
      <c r="H269" s="18" t="n"/>
      <c r="I269" s="19" t="n"/>
    </row>
    <row r="270">
      <c r="A270" s="17" t="n"/>
      <c r="B270" s="18" t="n"/>
      <c r="C270" s="19" t="n"/>
      <c r="D270" s="18" t="n"/>
      <c r="E270" s="18" t="n"/>
      <c r="F270" s="10">
        <f>IF(C270="","",IF(C270&gt;=9,"Promotor",IF(C270&gt;=7,"Pasivo","Detractor")))</f>
        <v/>
      </c>
      <c r="G270" s="20">
        <f>IF(F270="","",IF(F270="Promotor","Pedir reseña o recomendación",IF(F270="Pasivo","Preguntar qué le falta para un 10","Llamada de una persona en menos de 48 horas")))</f>
        <v/>
      </c>
      <c r="H270" s="18" t="n"/>
      <c r="I270" s="19" t="n"/>
    </row>
    <row r="271">
      <c r="A271" s="17" t="n"/>
      <c r="B271" s="18" t="n"/>
      <c r="C271" s="19" t="n"/>
      <c r="D271" s="18" t="n"/>
      <c r="E271" s="18" t="n"/>
      <c r="F271" s="10">
        <f>IF(C271="","",IF(C271&gt;=9,"Promotor",IF(C271&gt;=7,"Pasivo","Detractor")))</f>
        <v/>
      </c>
      <c r="G271" s="20">
        <f>IF(F271="","",IF(F271="Promotor","Pedir reseña o recomendación",IF(F271="Pasivo","Preguntar qué le falta para un 10","Llamada de una persona en menos de 48 horas")))</f>
        <v/>
      </c>
      <c r="H271" s="18" t="n"/>
      <c r="I271" s="19" t="n"/>
    </row>
    <row r="272">
      <c r="A272" s="17" t="n"/>
      <c r="B272" s="18" t="n"/>
      <c r="C272" s="19" t="n"/>
      <c r="D272" s="18" t="n"/>
      <c r="E272" s="18" t="n"/>
      <c r="F272" s="10">
        <f>IF(C272="","",IF(C272&gt;=9,"Promotor",IF(C272&gt;=7,"Pasivo","Detractor")))</f>
        <v/>
      </c>
      <c r="G272" s="20">
        <f>IF(F272="","",IF(F272="Promotor","Pedir reseña o recomendación",IF(F272="Pasivo","Preguntar qué le falta para un 10","Llamada de una persona en menos de 48 horas")))</f>
        <v/>
      </c>
      <c r="H272" s="18" t="n"/>
      <c r="I272" s="19" t="n"/>
    </row>
    <row r="273">
      <c r="A273" s="17" t="n"/>
      <c r="B273" s="18" t="n"/>
      <c r="C273" s="19" t="n"/>
      <c r="D273" s="18" t="n"/>
      <c r="E273" s="18" t="n"/>
      <c r="F273" s="10">
        <f>IF(C273="","",IF(C273&gt;=9,"Promotor",IF(C273&gt;=7,"Pasivo","Detractor")))</f>
        <v/>
      </c>
      <c r="G273" s="20">
        <f>IF(F273="","",IF(F273="Promotor","Pedir reseña o recomendación",IF(F273="Pasivo","Preguntar qué le falta para un 10","Llamada de una persona en menos de 48 horas")))</f>
        <v/>
      </c>
      <c r="H273" s="18" t="n"/>
      <c r="I273" s="19" t="n"/>
    </row>
    <row r="274">
      <c r="A274" s="17" t="n"/>
      <c r="B274" s="18" t="n"/>
      <c r="C274" s="19" t="n"/>
      <c r="D274" s="18" t="n"/>
      <c r="E274" s="18" t="n"/>
      <c r="F274" s="10">
        <f>IF(C274="","",IF(C274&gt;=9,"Promotor",IF(C274&gt;=7,"Pasivo","Detractor")))</f>
        <v/>
      </c>
      <c r="G274" s="20">
        <f>IF(F274="","",IF(F274="Promotor","Pedir reseña o recomendación",IF(F274="Pasivo","Preguntar qué le falta para un 10","Llamada de una persona en menos de 48 horas")))</f>
        <v/>
      </c>
      <c r="H274" s="18" t="n"/>
      <c r="I274" s="19" t="n"/>
    </row>
    <row r="275">
      <c r="A275" s="17" t="n"/>
      <c r="B275" s="18" t="n"/>
      <c r="C275" s="19" t="n"/>
      <c r="D275" s="18" t="n"/>
      <c r="E275" s="18" t="n"/>
      <c r="F275" s="10">
        <f>IF(C275="","",IF(C275&gt;=9,"Promotor",IF(C275&gt;=7,"Pasivo","Detractor")))</f>
        <v/>
      </c>
      <c r="G275" s="20">
        <f>IF(F275="","",IF(F275="Promotor","Pedir reseña o recomendación",IF(F275="Pasivo","Preguntar qué le falta para un 10","Llamada de una persona en menos de 48 horas")))</f>
        <v/>
      </c>
      <c r="H275" s="18" t="n"/>
      <c r="I275" s="19" t="n"/>
    </row>
    <row r="276">
      <c r="A276" s="17" t="n"/>
      <c r="B276" s="18" t="n"/>
      <c r="C276" s="19" t="n"/>
      <c r="D276" s="18" t="n"/>
      <c r="E276" s="18" t="n"/>
      <c r="F276" s="10">
        <f>IF(C276="","",IF(C276&gt;=9,"Promotor",IF(C276&gt;=7,"Pasivo","Detractor")))</f>
        <v/>
      </c>
      <c r="G276" s="20">
        <f>IF(F276="","",IF(F276="Promotor","Pedir reseña o recomendación",IF(F276="Pasivo","Preguntar qué le falta para un 10","Llamada de una persona en menos de 48 horas")))</f>
        <v/>
      </c>
      <c r="H276" s="18" t="n"/>
      <c r="I276" s="19" t="n"/>
    </row>
    <row r="277">
      <c r="A277" s="17" t="n"/>
      <c r="B277" s="18" t="n"/>
      <c r="C277" s="19" t="n"/>
      <c r="D277" s="18" t="n"/>
      <c r="E277" s="18" t="n"/>
      <c r="F277" s="10">
        <f>IF(C277="","",IF(C277&gt;=9,"Promotor",IF(C277&gt;=7,"Pasivo","Detractor")))</f>
        <v/>
      </c>
      <c r="G277" s="20">
        <f>IF(F277="","",IF(F277="Promotor","Pedir reseña o recomendación",IF(F277="Pasivo","Preguntar qué le falta para un 10","Llamada de una persona en menos de 48 horas")))</f>
        <v/>
      </c>
      <c r="H277" s="18" t="n"/>
      <c r="I277" s="19" t="n"/>
    </row>
    <row r="278">
      <c r="A278" s="17" t="n"/>
      <c r="B278" s="18" t="n"/>
      <c r="C278" s="19" t="n"/>
      <c r="D278" s="18" t="n"/>
      <c r="E278" s="18" t="n"/>
      <c r="F278" s="10">
        <f>IF(C278="","",IF(C278&gt;=9,"Promotor",IF(C278&gt;=7,"Pasivo","Detractor")))</f>
        <v/>
      </c>
      <c r="G278" s="20">
        <f>IF(F278="","",IF(F278="Promotor","Pedir reseña o recomendación",IF(F278="Pasivo","Preguntar qué le falta para un 10","Llamada de una persona en menos de 48 horas")))</f>
        <v/>
      </c>
      <c r="H278" s="18" t="n"/>
      <c r="I278" s="19" t="n"/>
    </row>
    <row r="279">
      <c r="A279" s="17" t="n"/>
      <c r="B279" s="18" t="n"/>
      <c r="C279" s="19" t="n"/>
      <c r="D279" s="18" t="n"/>
      <c r="E279" s="18" t="n"/>
      <c r="F279" s="10">
        <f>IF(C279="","",IF(C279&gt;=9,"Promotor",IF(C279&gt;=7,"Pasivo","Detractor")))</f>
        <v/>
      </c>
      <c r="G279" s="20">
        <f>IF(F279="","",IF(F279="Promotor","Pedir reseña o recomendación",IF(F279="Pasivo","Preguntar qué le falta para un 10","Llamada de una persona en menos de 48 horas")))</f>
        <v/>
      </c>
      <c r="H279" s="18" t="n"/>
      <c r="I279" s="19" t="n"/>
    </row>
    <row r="280">
      <c r="A280" s="17" t="n"/>
      <c r="B280" s="18" t="n"/>
      <c r="C280" s="19" t="n"/>
      <c r="D280" s="18" t="n"/>
      <c r="E280" s="18" t="n"/>
      <c r="F280" s="10">
        <f>IF(C280="","",IF(C280&gt;=9,"Promotor",IF(C280&gt;=7,"Pasivo","Detractor")))</f>
        <v/>
      </c>
      <c r="G280" s="20">
        <f>IF(F280="","",IF(F280="Promotor","Pedir reseña o recomendación",IF(F280="Pasivo","Preguntar qué le falta para un 10","Llamada de una persona en menos de 48 horas")))</f>
        <v/>
      </c>
      <c r="H280" s="18" t="n"/>
      <c r="I280" s="19" t="n"/>
    </row>
    <row r="281">
      <c r="A281" s="17" t="n"/>
      <c r="B281" s="18" t="n"/>
      <c r="C281" s="19" t="n"/>
      <c r="D281" s="18" t="n"/>
      <c r="E281" s="18" t="n"/>
      <c r="F281" s="10">
        <f>IF(C281="","",IF(C281&gt;=9,"Promotor",IF(C281&gt;=7,"Pasivo","Detractor")))</f>
        <v/>
      </c>
      <c r="G281" s="20">
        <f>IF(F281="","",IF(F281="Promotor","Pedir reseña o recomendación",IF(F281="Pasivo","Preguntar qué le falta para un 10","Llamada de una persona en menos de 48 horas")))</f>
        <v/>
      </c>
      <c r="H281" s="18" t="n"/>
      <c r="I281" s="19" t="n"/>
    </row>
    <row r="282">
      <c r="A282" s="17" t="n"/>
      <c r="B282" s="18" t="n"/>
      <c r="C282" s="19" t="n"/>
      <c r="D282" s="18" t="n"/>
      <c r="E282" s="18" t="n"/>
      <c r="F282" s="10">
        <f>IF(C282="","",IF(C282&gt;=9,"Promotor",IF(C282&gt;=7,"Pasivo","Detractor")))</f>
        <v/>
      </c>
      <c r="G282" s="20">
        <f>IF(F282="","",IF(F282="Promotor","Pedir reseña o recomendación",IF(F282="Pasivo","Preguntar qué le falta para un 10","Llamada de una persona en menos de 48 horas")))</f>
        <v/>
      </c>
      <c r="H282" s="18" t="n"/>
      <c r="I282" s="19" t="n"/>
    </row>
    <row r="283">
      <c r="A283" s="17" t="n"/>
      <c r="B283" s="18" t="n"/>
      <c r="C283" s="19" t="n"/>
      <c r="D283" s="18" t="n"/>
      <c r="E283" s="18" t="n"/>
      <c r="F283" s="10">
        <f>IF(C283="","",IF(C283&gt;=9,"Promotor",IF(C283&gt;=7,"Pasivo","Detractor")))</f>
        <v/>
      </c>
      <c r="G283" s="20">
        <f>IF(F283="","",IF(F283="Promotor","Pedir reseña o recomendación",IF(F283="Pasivo","Preguntar qué le falta para un 10","Llamada de una persona en menos de 48 horas")))</f>
        <v/>
      </c>
      <c r="H283" s="18" t="n"/>
      <c r="I283" s="19" t="n"/>
    </row>
    <row r="284">
      <c r="A284" s="17" t="n"/>
      <c r="B284" s="18" t="n"/>
      <c r="C284" s="19" t="n"/>
      <c r="D284" s="18" t="n"/>
      <c r="E284" s="18" t="n"/>
      <c r="F284" s="10">
        <f>IF(C284="","",IF(C284&gt;=9,"Promotor",IF(C284&gt;=7,"Pasivo","Detractor")))</f>
        <v/>
      </c>
      <c r="G284" s="20">
        <f>IF(F284="","",IF(F284="Promotor","Pedir reseña o recomendación",IF(F284="Pasivo","Preguntar qué le falta para un 10","Llamada de una persona en menos de 48 horas")))</f>
        <v/>
      </c>
      <c r="H284" s="18" t="n"/>
      <c r="I284" s="19" t="n"/>
    </row>
    <row r="285">
      <c r="A285" s="17" t="n"/>
      <c r="B285" s="18" t="n"/>
      <c r="C285" s="19" t="n"/>
      <c r="D285" s="18" t="n"/>
      <c r="E285" s="18" t="n"/>
      <c r="F285" s="10">
        <f>IF(C285="","",IF(C285&gt;=9,"Promotor",IF(C285&gt;=7,"Pasivo","Detractor")))</f>
        <v/>
      </c>
      <c r="G285" s="20">
        <f>IF(F285="","",IF(F285="Promotor","Pedir reseña o recomendación",IF(F285="Pasivo","Preguntar qué le falta para un 10","Llamada de una persona en menos de 48 horas")))</f>
        <v/>
      </c>
      <c r="H285" s="18" t="n"/>
      <c r="I285" s="19" t="n"/>
    </row>
    <row r="286">
      <c r="A286" s="17" t="n"/>
      <c r="B286" s="18" t="n"/>
      <c r="C286" s="19" t="n"/>
      <c r="D286" s="18" t="n"/>
      <c r="E286" s="18" t="n"/>
      <c r="F286" s="10">
        <f>IF(C286="","",IF(C286&gt;=9,"Promotor",IF(C286&gt;=7,"Pasivo","Detractor")))</f>
        <v/>
      </c>
      <c r="G286" s="20">
        <f>IF(F286="","",IF(F286="Promotor","Pedir reseña o recomendación",IF(F286="Pasivo","Preguntar qué le falta para un 10","Llamada de una persona en menos de 48 horas")))</f>
        <v/>
      </c>
      <c r="H286" s="18" t="n"/>
      <c r="I286" s="19" t="n"/>
    </row>
    <row r="287">
      <c r="A287" s="17" t="n"/>
      <c r="B287" s="18" t="n"/>
      <c r="C287" s="19" t="n"/>
      <c r="D287" s="18" t="n"/>
      <c r="E287" s="18" t="n"/>
      <c r="F287" s="10">
        <f>IF(C287="","",IF(C287&gt;=9,"Promotor",IF(C287&gt;=7,"Pasivo","Detractor")))</f>
        <v/>
      </c>
      <c r="G287" s="20">
        <f>IF(F287="","",IF(F287="Promotor","Pedir reseña o recomendación",IF(F287="Pasivo","Preguntar qué le falta para un 10","Llamada de una persona en menos de 48 horas")))</f>
        <v/>
      </c>
      <c r="H287" s="18" t="n"/>
      <c r="I287" s="19" t="n"/>
    </row>
    <row r="288">
      <c r="A288" s="17" t="n"/>
      <c r="B288" s="18" t="n"/>
      <c r="C288" s="19" t="n"/>
      <c r="D288" s="18" t="n"/>
      <c r="E288" s="18" t="n"/>
      <c r="F288" s="10">
        <f>IF(C288="","",IF(C288&gt;=9,"Promotor",IF(C288&gt;=7,"Pasivo","Detractor")))</f>
        <v/>
      </c>
      <c r="G288" s="20">
        <f>IF(F288="","",IF(F288="Promotor","Pedir reseña o recomendación",IF(F288="Pasivo","Preguntar qué le falta para un 10","Llamada de una persona en menos de 48 horas")))</f>
        <v/>
      </c>
      <c r="H288" s="18" t="n"/>
      <c r="I288" s="19" t="n"/>
    </row>
    <row r="289">
      <c r="A289" s="17" t="n"/>
      <c r="B289" s="18" t="n"/>
      <c r="C289" s="19" t="n"/>
      <c r="D289" s="18" t="n"/>
      <c r="E289" s="18" t="n"/>
      <c r="F289" s="10">
        <f>IF(C289="","",IF(C289&gt;=9,"Promotor",IF(C289&gt;=7,"Pasivo","Detractor")))</f>
        <v/>
      </c>
      <c r="G289" s="20">
        <f>IF(F289="","",IF(F289="Promotor","Pedir reseña o recomendación",IF(F289="Pasivo","Preguntar qué le falta para un 10","Llamada de una persona en menos de 48 horas")))</f>
        <v/>
      </c>
      <c r="H289" s="18" t="n"/>
      <c r="I289" s="19" t="n"/>
    </row>
    <row r="290">
      <c r="A290" s="17" t="n"/>
      <c r="B290" s="18" t="n"/>
      <c r="C290" s="19" t="n"/>
      <c r="D290" s="18" t="n"/>
      <c r="E290" s="18" t="n"/>
      <c r="F290" s="10">
        <f>IF(C290="","",IF(C290&gt;=9,"Promotor",IF(C290&gt;=7,"Pasivo","Detractor")))</f>
        <v/>
      </c>
      <c r="G290" s="20">
        <f>IF(F290="","",IF(F290="Promotor","Pedir reseña o recomendación",IF(F290="Pasivo","Preguntar qué le falta para un 10","Llamada de una persona en menos de 48 horas")))</f>
        <v/>
      </c>
      <c r="H290" s="18" t="n"/>
      <c r="I290" s="19" t="n"/>
    </row>
    <row r="291">
      <c r="A291" s="17" t="n"/>
      <c r="B291" s="18" t="n"/>
      <c r="C291" s="19" t="n"/>
      <c r="D291" s="18" t="n"/>
      <c r="E291" s="18" t="n"/>
      <c r="F291" s="10">
        <f>IF(C291="","",IF(C291&gt;=9,"Promotor",IF(C291&gt;=7,"Pasivo","Detractor")))</f>
        <v/>
      </c>
      <c r="G291" s="20">
        <f>IF(F291="","",IF(F291="Promotor","Pedir reseña o recomendación",IF(F291="Pasivo","Preguntar qué le falta para un 10","Llamada de una persona en menos de 48 horas")))</f>
        <v/>
      </c>
      <c r="H291" s="18" t="n"/>
      <c r="I291" s="19" t="n"/>
    </row>
    <row r="292">
      <c r="A292" s="17" t="n"/>
      <c r="B292" s="18" t="n"/>
      <c r="C292" s="19" t="n"/>
      <c r="D292" s="18" t="n"/>
      <c r="E292" s="18" t="n"/>
      <c r="F292" s="10">
        <f>IF(C292="","",IF(C292&gt;=9,"Promotor",IF(C292&gt;=7,"Pasivo","Detractor")))</f>
        <v/>
      </c>
      <c r="G292" s="20">
        <f>IF(F292="","",IF(F292="Promotor","Pedir reseña o recomendación",IF(F292="Pasivo","Preguntar qué le falta para un 10","Llamada de una persona en menos de 48 horas")))</f>
        <v/>
      </c>
      <c r="H292" s="18" t="n"/>
      <c r="I292" s="19" t="n"/>
    </row>
    <row r="293">
      <c r="A293" s="17" t="n"/>
      <c r="B293" s="18" t="n"/>
      <c r="C293" s="19" t="n"/>
      <c r="D293" s="18" t="n"/>
      <c r="E293" s="18" t="n"/>
      <c r="F293" s="10">
        <f>IF(C293="","",IF(C293&gt;=9,"Promotor",IF(C293&gt;=7,"Pasivo","Detractor")))</f>
        <v/>
      </c>
      <c r="G293" s="20">
        <f>IF(F293="","",IF(F293="Promotor","Pedir reseña o recomendación",IF(F293="Pasivo","Preguntar qué le falta para un 10","Llamada de una persona en menos de 48 horas")))</f>
        <v/>
      </c>
      <c r="H293" s="18" t="n"/>
      <c r="I293" s="19" t="n"/>
    </row>
    <row r="294">
      <c r="A294" s="17" t="n"/>
      <c r="B294" s="18" t="n"/>
      <c r="C294" s="19" t="n"/>
      <c r="D294" s="18" t="n"/>
      <c r="E294" s="18" t="n"/>
      <c r="F294" s="10">
        <f>IF(C294="","",IF(C294&gt;=9,"Promotor",IF(C294&gt;=7,"Pasivo","Detractor")))</f>
        <v/>
      </c>
      <c r="G294" s="20">
        <f>IF(F294="","",IF(F294="Promotor","Pedir reseña o recomendación",IF(F294="Pasivo","Preguntar qué le falta para un 10","Llamada de una persona en menos de 48 horas")))</f>
        <v/>
      </c>
      <c r="H294" s="18" t="n"/>
      <c r="I294" s="19" t="n"/>
    </row>
    <row r="295">
      <c r="A295" s="17" t="n"/>
      <c r="B295" s="18" t="n"/>
      <c r="C295" s="19" t="n"/>
      <c r="D295" s="18" t="n"/>
      <c r="E295" s="18" t="n"/>
      <c r="F295" s="10">
        <f>IF(C295="","",IF(C295&gt;=9,"Promotor",IF(C295&gt;=7,"Pasivo","Detractor")))</f>
        <v/>
      </c>
      <c r="G295" s="20">
        <f>IF(F295="","",IF(F295="Promotor","Pedir reseña o recomendación",IF(F295="Pasivo","Preguntar qué le falta para un 10","Llamada de una persona en menos de 48 horas")))</f>
        <v/>
      </c>
      <c r="H295" s="18" t="n"/>
      <c r="I295" s="19" t="n"/>
    </row>
    <row r="296">
      <c r="A296" s="17" t="n"/>
      <c r="B296" s="18" t="n"/>
      <c r="C296" s="19" t="n"/>
      <c r="D296" s="18" t="n"/>
      <c r="E296" s="18" t="n"/>
      <c r="F296" s="10">
        <f>IF(C296="","",IF(C296&gt;=9,"Promotor",IF(C296&gt;=7,"Pasivo","Detractor")))</f>
        <v/>
      </c>
      <c r="G296" s="20">
        <f>IF(F296="","",IF(F296="Promotor","Pedir reseña o recomendación",IF(F296="Pasivo","Preguntar qué le falta para un 10","Llamada de una persona en menos de 48 horas")))</f>
        <v/>
      </c>
      <c r="H296" s="18" t="n"/>
      <c r="I296" s="19" t="n"/>
    </row>
    <row r="297">
      <c r="A297" s="17" t="n"/>
      <c r="B297" s="18" t="n"/>
      <c r="C297" s="19" t="n"/>
      <c r="D297" s="18" t="n"/>
      <c r="E297" s="18" t="n"/>
      <c r="F297" s="10">
        <f>IF(C297="","",IF(C297&gt;=9,"Promotor",IF(C297&gt;=7,"Pasivo","Detractor")))</f>
        <v/>
      </c>
      <c r="G297" s="20">
        <f>IF(F297="","",IF(F297="Promotor","Pedir reseña o recomendación",IF(F297="Pasivo","Preguntar qué le falta para un 10","Llamada de una persona en menos de 48 horas")))</f>
        <v/>
      </c>
      <c r="H297" s="18" t="n"/>
      <c r="I297" s="19" t="n"/>
    </row>
    <row r="298">
      <c r="A298" s="17" t="n"/>
      <c r="B298" s="18" t="n"/>
      <c r="C298" s="19" t="n"/>
      <c r="D298" s="18" t="n"/>
      <c r="E298" s="18" t="n"/>
      <c r="F298" s="10">
        <f>IF(C298="","",IF(C298&gt;=9,"Promotor",IF(C298&gt;=7,"Pasivo","Detractor")))</f>
        <v/>
      </c>
      <c r="G298" s="20">
        <f>IF(F298="","",IF(F298="Promotor","Pedir reseña o recomendación",IF(F298="Pasivo","Preguntar qué le falta para un 10","Llamada de una persona en menos de 48 horas")))</f>
        <v/>
      </c>
      <c r="H298" s="18" t="n"/>
      <c r="I298" s="19" t="n"/>
    </row>
    <row r="299">
      <c r="A299" s="17" t="n"/>
      <c r="B299" s="18" t="n"/>
      <c r="C299" s="19" t="n"/>
      <c r="D299" s="18" t="n"/>
      <c r="E299" s="18" t="n"/>
      <c r="F299" s="10">
        <f>IF(C299="","",IF(C299&gt;=9,"Promotor",IF(C299&gt;=7,"Pasivo","Detractor")))</f>
        <v/>
      </c>
      <c r="G299" s="20">
        <f>IF(F299="","",IF(F299="Promotor","Pedir reseña o recomendación",IF(F299="Pasivo","Preguntar qué le falta para un 10","Llamada de una persona en menos de 48 horas")))</f>
        <v/>
      </c>
      <c r="H299" s="18" t="n"/>
      <c r="I299" s="19" t="n"/>
    </row>
    <row r="300">
      <c r="A300" s="17" t="n"/>
      <c r="B300" s="18" t="n"/>
      <c r="C300" s="19" t="n"/>
      <c r="D300" s="18" t="n"/>
      <c r="E300" s="18" t="n"/>
      <c r="F300" s="10">
        <f>IF(C300="","",IF(C300&gt;=9,"Promotor",IF(C300&gt;=7,"Pasivo","Detractor")))</f>
        <v/>
      </c>
      <c r="G300" s="20">
        <f>IF(F300="","",IF(F300="Promotor","Pedir reseña o recomendación",IF(F300="Pasivo","Preguntar qué le falta para un 10","Llamada de una persona en menos de 48 horas")))</f>
        <v/>
      </c>
      <c r="H300" s="18" t="n"/>
      <c r="I300" s="19" t="n"/>
    </row>
    <row r="301">
      <c r="A301" s="17" t="n"/>
      <c r="B301" s="18" t="n"/>
      <c r="C301" s="19" t="n"/>
      <c r="D301" s="18" t="n"/>
      <c r="E301" s="18" t="n"/>
      <c r="F301" s="10">
        <f>IF(C301="","",IF(C301&gt;=9,"Promotor",IF(C301&gt;=7,"Pasivo","Detractor")))</f>
        <v/>
      </c>
      <c r="G301" s="20">
        <f>IF(F301="","",IF(F301="Promotor","Pedir reseña o recomendación",IF(F301="Pasivo","Preguntar qué le falta para un 10","Llamada de una persona en menos de 48 horas")))</f>
        <v/>
      </c>
      <c r="H301" s="18" t="n"/>
      <c r="I301" s="19" t="n"/>
    </row>
    <row r="302">
      <c r="A302" s="17" t="n"/>
      <c r="B302" s="18" t="n"/>
      <c r="C302" s="19" t="n"/>
      <c r="D302" s="18" t="n"/>
      <c r="E302" s="18" t="n"/>
      <c r="F302" s="10">
        <f>IF(C302="","",IF(C302&gt;=9,"Promotor",IF(C302&gt;=7,"Pasivo","Detractor")))</f>
        <v/>
      </c>
      <c r="G302" s="20">
        <f>IF(F302="","",IF(F302="Promotor","Pedir reseña o recomendación",IF(F302="Pasivo","Preguntar qué le falta para un 10","Llamada de una persona en menos de 48 horas")))</f>
        <v/>
      </c>
      <c r="H302" s="18" t="n"/>
      <c r="I302" s="19" t="n"/>
    </row>
    <row r="303">
      <c r="A303" s="17" t="n"/>
      <c r="B303" s="18" t="n"/>
      <c r="C303" s="19" t="n"/>
      <c r="D303" s="18" t="n"/>
      <c r="E303" s="18" t="n"/>
      <c r="F303" s="10">
        <f>IF(C303="","",IF(C303&gt;=9,"Promotor",IF(C303&gt;=7,"Pasivo","Detractor")))</f>
        <v/>
      </c>
      <c r="G303" s="20">
        <f>IF(F303="","",IF(F303="Promotor","Pedir reseña o recomendación",IF(F303="Pasivo","Preguntar qué le falta para un 10","Llamada de una persona en menos de 48 horas")))</f>
        <v/>
      </c>
      <c r="H303" s="18" t="n"/>
      <c r="I303" s="19" t="n"/>
    </row>
    <row r="304">
      <c r="A304" s="17" t="n"/>
      <c r="B304" s="18" t="n"/>
      <c r="C304" s="19" t="n"/>
      <c r="D304" s="18" t="n"/>
      <c r="E304" s="18" t="n"/>
      <c r="F304" s="10">
        <f>IF(C304="","",IF(C304&gt;=9,"Promotor",IF(C304&gt;=7,"Pasivo","Detractor")))</f>
        <v/>
      </c>
      <c r="G304" s="20">
        <f>IF(F304="","",IF(F304="Promotor","Pedir reseña o recomendación",IF(F304="Pasivo","Preguntar qué le falta para un 10","Llamada de una persona en menos de 48 horas")))</f>
        <v/>
      </c>
      <c r="H304" s="18" t="n"/>
      <c r="I304" s="19" t="n"/>
    </row>
    <row r="305">
      <c r="A305" s="17" t="n"/>
      <c r="B305" s="18" t="n"/>
      <c r="C305" s="19" t="n"/>
      <c r="D305" s="18" t="n"/>
      <c r="E305" s="18" t="n"/>
      <c r="F305" s="10">
        <f>IF(C305="","",IF(C305&gt;=9,"Promotor",IF(C305&gt;=7,"Pasivo","Detractor")))</f>
        <v/>
      </c>
      <c r="G305" s="20">
        <f>IF(F305="","",IF(F305="Promotor","Pedir reseña o recomendación",IF(F305="Pasivo","Preguntar qué le falta para un 10","Llamada de una persona en menos de 48 horas")))</f>
        <v/>
      </c>
      <c r="H305" s="18" t="n"/>
      <c r="I305" s="19" t="n"/>
    </row>
    <row r="306">
      <c r="A306" s="17" t="n"/>
      <c r="B306" s="18" t="n"/>
      <c r="C306" s="19" t="n"/>
      <c r="D306" s="18" t="n"/>
      <c r="E306" s="18" t="n"/>
      <c r="F306" s="10">
        <f>IF(C306="","",IF(C306&gt;=9,"Promotor",IF(C306&gt;=7,"Pasivo","Detractor")))</f>
        <v/>
      </c>
      <c r="G306" s="20">
        <f>IF(F306="","",IF(F306="Promotor","Pedir reseña o recomendación",IF(F306="Pasivo","Preguntar qué le falta para un 10","Llamada de una persona en menos de 48 horas")))</f>
        <v/>
      </c>
      <c r="H306" s="18" t="n"/>
      <c r="I306" s="19" t="n"/>
    </row>
    <row r="307">
      <c r="A307" s="17" t="n"/>
      <c r="B307" s="18" t="n"/>
      <c r="C307" s="19" t="n"/>
      <c r="D307" s="18" t="n"/>
      <c r="E307" s="18" t="n"/>
      <c r="F307" s="10">
        <f>IF(C307="","",IF(C307&gt;=9,"Promotor",IF(C307&gt;=7,"Pasivo","Detractor")))</f>
        <v/>
      </c>
      <c r="G307" s="20">
        <f>IF(F307="","",IF(F307="Promotor","Pedir reseña o recomendación",IF(F307="Pasivo","Preguntar qué le falta para un 10","Llamada de una persona en menos de 48 horas")))</f>
        <v/>
      </c>
      <c r="H307" s="18" t="n"/>
      <c r="I307" s="19" t="n"/>
    </row>
    <row r="308">
      <c r="A308" s="17" t="n"/>
      <c r="B308" s="18" t="n"/>
      <c r="C308" s="19" t="n"/>
      <c r="D308" s="18" t="n"/>
      <c r="E308" s="18" t="n"/>
      <c r="F308" s="10">
        <f>IF(C308="","",IF(C308&gt;=9,"Promotor",IF(C308&gt;=7,"Pasivo","Detractor")))</f>
        <v/>
      </c>
      <c r="G308" s="20">
        <f>IF(F308="","",IF(F308="Promotor","Pedir reseña o recomendación",IF(F308="Pasivo","Preguntar qué le falta para un 10","Llamada de una persona en menos de 48 horas")))</f>
        <v/>
      </c>
      <c r="H308" s="18" t="n"/>
      <c r="I308" s="19" t="n"/>
    </row>
    <row r="309">
      <c r="A309" s="17" t="n"/>
      <c r="B309" s="18" t="n"/>
      <c r="C309" s="19" t="n"/>
      <c r="D309" s="18" t="n"/>
      <c r="E309" s="18" t="n"/>
      <c r="F309" s="10">
        <f>IF(C309="","",IF(C309&gt;=9,"Promotor",IF(C309&gt;=7,"Pasivo","Detractor")))</f>
        <v/>
      </c>
      <c r="G309" s="20">
        <f>IF(F309="","",IF(F309="Promotor","Pedir reseña o recomendación",IF(F309="Pasivo","Preguntar qué le falta para un 10","Llamada de una persona en menos de 48 horas")))</f>
        <v/>
      </c>
      <c r="H309" s="18" t="n"/>
      <c r="I309" s="19" t="n"/>
    </row>
    <row r="310">
      <c r="A310" s="17" t="n"/>
      <c r="B310" s="18" t="n"/>
      <c r="C310" s="19" t="n"/>
      <c r="D310" s="18" t="n"/>
      <c r="E310" s="18" t="n"/>
      <c r="F310" s="10">
        <f>IF(C310="","",IF(C310&gt;=9,"Promotor",IF(C310&gt;=7,"Pasivo","Detractor")))</f>
        <v/>
      </c>
      <c r="G310" s="20">
        <f>IF(F310="","",IF(F310="Promotor","Pedir reseña o recomendación",IF(F310="Pasivo","Preguntar qué le falta para un 10","Llamada de una persona en menos de 48 horas")))</f>
        <v/>
      </c>
      <c r="H310" s="18" t="n"/>
      <c r="I310" s="19" t="n"/>
    </row>
    <row r="311">
      <c r="A311" s="17" t="n"/>
      <c r="B311" s="18" t="n"/>
      <c r="C311" s="19" t="n"/>
      <c r="D311" s="18" t="n"/>
      <c r="E311" s="18" t="n"/>
      <c r="F311" s="10">
        <f>IF(C311="","",IF(C311&gt;=9,"Promotor",IF(C311&gt;=7,"Pasivo","Detractor")))</f>
        <v/>
      </c>
      <c r="G311" s="20">
        <f>IF(F311="","",IF(F311="Promotor","Pedir reseña o recomendación",IF(F311="Pasivo","Preguntar qué le falta para un 10","Llamada de una persona en menos de 48 horas")))</f>
        <v/>
      </c>
      <c r="H311" s="18" t="n"/>
      <c r="I311" s="19" t="n"/>
    </row>
    <row r="312">
      <c r="A312" s="17" t="n"/>
      <c r="B312" s="18" t="n"/>
      <c r="C312" s="19" t="n"/>
      <c r="D312" s="18" t="n"/>
      <c r="E312" s="18" t="n"/>
      <c r="F312" s="10">
        <f>IF(C312="","",IF(C312&gt;=9,"Promotor",IF(C312&gt;=7,"Pasivo","Detractor")))</f>
        <v/>
      </c>
      <c r="G312" s="20">
        <f>IF(F312="","",IF(F312="Promotor","Pedir reseña o recomendación",IF(F312="Pasivo","Preguntar qué le falta para un 10","Llamada de una persona en menos de 48 horas")))</f>
        <v/>
      </c>
      <c r="H312" s="18" t="n"/>
      <c r="I312" s="19" t="n"/>
    </row>
    <row r="313">
      <c r="A313" s="17" t="n"/>
      <c r="B313" s="18" t="n"/>
      <c r="C313" s="19" t="n"/>
      <c r="D313" s="18" t="n"/>
      <c r="E313" s="18" t="n"/>
      <c r="F313" s="10">
        <f>IF(C313="","",IF(C313&gt;=9,"Promotor",IF(C313&gt;=7,"Pasivo","Detractor")))</f>
        <v/>
      </c>
      <c r="G313" s="20">
        <f>IF(F313="","",IF(F313="Promotor","Pedir reseña o recomendación",IF(F313="Pasivo","Preguntar qué le falta para un 10","Llamada de una persona en menos de 48 horas")))</f>
        <v/>
      </c>
      <c r="H313" s="18" t="n"/>
      <c r="I313" s="19" t="n"/>
    </row>
    <row r="314">
      <c r="A314" s="17" t="n"/>
      <c r="B314" s="18" t="n"/>
      <c r="C314" s="19" t="n"/>
      <c r="D314" s="18" t="n"/>
      <c r="E314" s="18" t="n"/>
      <c r="F314" s="10">
        <f>IF(C314="","",IF(C314&gt;=9,"Promotor",IF(C314&gt;=7,"Pasivo","Detractor")))</f>
        <v/>
      </c>
      <c r="G314" s="20">
        <f>IF(F314="","",IF(F314="Promotor","Pedir reseña o recomendación",IF(F314="Pasivo","Preguntar qué le falta para un 10","Llamada de una persona en menos de 48 horas")))</f>
        <v/>
      </c>
      <c r="H314" s="18" t="n"/>
      <c r="I314" s="19" t="n"/>
    </row>
    <row r="315">
      <c r="A315" s="17" t="n"/>
      <c r="B315" s="18" t="n"/>
      <c r="C315" s="19" t="n"/>
      <c r="D315" s="18" t="n"/>
      <c r="E315" s="18" t="n"/>
      <c r="F315" s="10">
        <f>IF(C315="","",IF(C315&gt;=9,"Promotor",IF(C315&gt;=7,"Pasivo","Detractor")))</f>
        <v/>
      </c>
      <c r="G315" s="20">
        <f>IF(F315="","",IF(F315="Promotor","Pedir reseña o recomendación",IF(F315="Pasivo","Preguntar qué le falta para un 10","Llamada de una persona en menos de 48 horas")))</f>
        <v/>
      </c>
      <c r="H315" s="18" t="n"/>
      <c r="I315" s="19" t="n"/>
    </row>
    <row r="316">
      <c r="A316" s="17" t="n"/>
      <c r="B316" s="18" t="n"/>
      <c r="C316" s="19" t="n"/>
      <c r="D316" s="18" t="n"/>
      <c r="E316" s="18" t="n"/>
      <c r="F316" s="10">
        <f>IF(C316="","",IF(C316&gt;=9,"Promotor",IF(C316&gt;=7,"Pasivo","Detractor")))</f>
        <v/>
      </c>
      <c r="G316" s="20">
        <f>IF(F316="","",IF(F316="Promotor","Pedir reseña o recomendación",IF(F316="Pasivo","Preguntar qué le falta para un 10","Llamada de una persona en menos de 48 horas")))</f>
        <v/>
      </c>
      <c r="H316" s="18" t="n"/>
      <c r="I316" s="19" t="n"/>
    </row>
    <row r="317">
      <c r="A317" s="17" t="n"/>
      <c r="B317" s="18" t="n"/>
      <c r="C317" s="19" t="n"/>
      <c r="D317" s="18" t="n"/>
      <c r="E317" s="18" t="n"/>
      <c r="F317" s="10">
        <f>IF(C317="","",IF(C317&gt;=9,"Promotor",IF(C317&gt;=7,"Pasivo","Detractor")))</f>
        <v/>
      </c>
      <c r="G317" s="20">
        <f>IF(F317="","",IF(F317="Promotor","Pedir reseña o recomendación",IF(F317="Pasivo","Preguntar qué le falta para un 10","Llamada de una persona en menos de 48 horas")))</f>
        <v/>
      </c>
      <c r="H317" s="18" t="n"/>
      <c r="I317" s="19" t="n"/>
    </row>
    <row r="318">
      <c r="A318" s="17" t="n"/>
      <c r="B318" s="18" t="n"/>
      <c r="C318" s="19" t="n"/>
      <c r="D318" s="18" t="n"/>
      <c r="E318" s="18" t="n"/>
      <c r="F318" s="10">
        <f>IF(C318="","",IF(C318&gt;=9,"Promotor",IF(C318&gt;=7,"Pasivo","Detractor")))</f>
        <v/>
      </c>
      <c r="G318" s="20">
        <f>IF(F318="","",IF(F318="Promotor","Pedir reseña o recomendación",IF(F318="Pasivo","Preguntar qué le falta para un 10","Llamada de una persona en menos de 48 horas")))</f>
        <v/>
      </c>
      <c r="H318" s="18" t="n"/>
      <c r="I318" s="19" t="n"/>
    </row>
    <row r="319">
      <c r="A319" s="17" t="n"/>
      <c r="B319" s="18" t="n"/>
      <c r="C319" s="19" t="n"/>
      <c r="D319" s="18" t="n"/>
      <c r="E319" s="18" t="n"/>
      <c r="F319" s="10">
        <f>IF(C319="","",IF(C319&gt;=9,"Promotor",IF(C319&gt;=7,"Pasivo","Detractor")))</f>
        <v/>
      </c>
      <c r="G319" s="20">
        <f>IF(F319="","",IF(F319="Promotor","Pedir reseña o recomendación",IF(F319="Pasivo","Preguntar qué le falta para un 10","Llamada de una persona en menos de 48 horas")))</f>
        <v/>
      </c>
      <c r="H319" s="18" t="n"/>
      <c r="I319" s="19" t="n"/>
    </row>
    <row r="320">
      <c r="A320" s="17" t="n"/>
      <c r="B320" s="18" t="n"/>
      <c r="C320" s="19" t="n"/>
      <c r="D320" s="18" t="n"/>
      <c r="E320" s="18" t="n"/>
      <c r="F320" s="10">
        <f>IF(C320="","",IF(C320&gt;=9,"Promotor",IF(C320&gt;=7,"Pasivo","Detractor")))</f>
        <v/>
      </c>
      <c r="G320" s="20">
        <f>IF(F320="","",IF(F320="Promotor","Pedir reseña o recomendación",IF(F320="Pasivo","Preguntar qué le falta para un 10","Llamada de una persona en menos de 48 horas")))</f>
        <v/>
      </c>
      <c r="H320" s="18" t="n"/>
      <c r="I320" s="19" t="n"/>
    </row>
    <row r="321">
      <c r="A321" s="17" t="n"/>
      <c r="B321" s="18" t="n"/>
      <c r="C321" s="19" t="n"/>
      <c r="D321" s="18" t="n"/>
      <c r="E321" s="18" t="n"/>
      <c r="F321" s="10">
        <f>IF(C321="","",IF(C321&gt;=9,"Promotor",IF(C321&gt;=7,"Pasivo","Detractor")))</f>
        <v/>
      </c>
      <c r="G321" s="20">
        <f>IF(F321="","",IF(F321="Promotor","Pedir reseña o recomendación",IF(F321="Pasivo","Preguntar qué le falta para un 10","Llamada de una persona en menos de 48 horas")))</f>
        <v/>
      </c>
      <c r="H321" s="18" t="n"/>
      <c r="I321" s="19" t="n"/>
    </row>
    <row r="322">
      <c r="A322" s="17" t="n"/>
      <c r="B322" s="18" t="n"/>
      <c r="C322" s="19" t="n"/>
      <c r="D322" s="18" t="n"/>
      <c r="E322" s="18" t="n"/>
      <c r="F322" s="10">
        <f>IF(C322="","",IF(C322&gt;=9,"Promotor",IF(C322&gt;=7,"Pasivo","Detractor")))</f>
        <v/>
      </c>
      <c r="G322" s="20">
        <f>IF(F322="","",IF(F322="Promotor","Pedir reseña o recomendación",IF(F322="Pasivo","Preguntar qué le falta para un 10","Llamada de una persona en menos de 48 horas")))</f>
        <v/>
      </c>
      <c r="H322" s="18" t="n"/>
      <c r="I322" s="19" t="n"/>
    </row>
    <row r="323">
      <c r="A323" s="17" t="n"/>
      <c r="B323" s="18" t="n"/>
      <c r="C323" s="19" t="n"/>
      <c r="D323" s="18" t="n"/>
      <c r="E323" s="18" t="n"/>
      <c r="F323" s="10">
        <f>IF(C323="","",IF(C323&gt;=9,"Promotor",IF(C323&gt;=7,"Pasivo","Detractor")))</f>
        <v/>
      </c>
      <c r="G323" s="20">
        <f>IF(F323="","",IF(F323="Promotor","Pedir reseña o recomendación",IF(F323="Pasivo","Preguntar qué le falta para un 10","Llamada de una persona en menos de 48 horas")))</f>
        <v/>
      </c>
      <c r="H323" s="18" t="n"/>
      <c r="I323" s="19" t="n"/>
    </row>
    <row r="324">
      <c r="A324" s="17" t="n"/>
      <c r="B324" s="18" t="n"/>
      <c r="C324" s="19" t="n"/>
      <c r="D324" s="18" t="n"/>
      <c r="E324" s="18" t="n"/>
      <c r="F324" s="10">
        <f>IF(C324="","",IF(C324&gt;=9,"Promotor",IF(C324&gt;=7,"Pasivo","Detractor")))</f>
        <v/>
      </c>
      <c r="G324" s="20">
        <f>IF(F324="","",IF(F324="Promotor","Pedir reseña o recomendación",IF(F324="Pasivo","Preguntar qué le falta para un 10","Llamada de una persona en menos de 48 horas")))</f>
        <v/>
      </c>
      <c r="H324" s="18" t="n"/>
      <c r="I324" s="19" t="n"/>
    </row>
    <row r="325">
      <c r="A325" s="17" t="n"/>
      <c r="B325" s="18" t="n"/>
      <c r="C325" s="19" t="n"/>
      <c r="D325" s="18" t="n"/>
      <c r="E325" s="18" t="n"/>
      <c r="F325" s="10">
        <f>IF(C325="","",IF(C325&gt;=9,"Promotor",IF(C325&gt;=7,"Pasivo","Detractor")))</f>
        <v/>
      </c>
      <c r="G325" s="20">
        <f>IF(F325="","",IF(F325="Promotor","Pedir reseña o recomendación",IF(F325="Pasivo","Preguntar qué le falta para un 10","Llamada de una persona en menos de 48 horas")))</f>
        <v/>
      </c>
      <c r="H325" s="18" t="n"/>
      <c r="I325" s="19" t="n"/>
    </row>
    <row r="326">
      <c r="A326" s="17" t="n"/>
      <c r="B326" s="18" t="n"/>
      <c r="C326" s="19" t="n"/>
      <c r="D326" s="18" t="n"/>
      <c r="E326" s="18" t="n"/>
      <c r="F326" s="10">
        <f>IF(C326="","",IF(C326&gt;=9,"Promotor",IF(C326&gt;=7,"Pasivo","Detractor")))</f>
        <v/>
      </c>
      <c r="G326" s="20">
        <f>IF(F326="","",IF(F326="Promotor","Pedir reseña o recomendación",IF(F326="Pasivo","Preguntar qué le falta para un 10","Llamada de una persona en menos de 48 horas")))</f>
        <v/>
      </c>
      <c r="H326" s="18" t="n"/>
      <c r="I326" s="19" t="n"/>
    </row>
    <row r="327">
      <c r="A327" s="17" t="n"/>
      <c r="B327" s="18" t="n"/>
      <c r="C327" s="19" t="n"/>
      <c r="D327" s="18" t="n"/>
      <c r="E327" s="18" t="n"/>
      <c r="F327" s="10">
        <f>IF(C327="","",IF(C327&gt;=9,"Promotor",IF(C327&gt;=7,"Pasivo","Detractor")))</f>
        <v/>
      </c>
      <c r="G327" s="20">
        <f>IF(F327="","",IF(F327="Promotor","Pedir reseña o recomendación",IF(F327="Pasivo","Preguntar qué le falta para un 10","Llamada de una persona en menos de 48 horas")))</f>
        <v/>
      </c>
      <c r="H327" s="18" t="n"/>
      <c r="I327" s="19" t="n"/>
    </row>
    <row r="328">
      <c r="A328" s="17" t="n"/>
      <c r="B328" s="18" t="n"/>
      <c r="C328" s="19" t="n"/>
      <c r="D328" s="18" t="n"/>
      <c r="E328" s="18" t="n"/>
      <c r="F328" s="10">
        <f>IF(C328="","",IF(C328&gt;=9,"Promotor",IF(C328&gt;=7,"Pasivo","Detractor")))</f>
        <v/>
      </c>
      <c r="G328" s="20">
        <f>IF(F328="","",IF(F328="Promotor","Pedir reseña o recomendación",IF(F328="Pasivo","Preguntar qué le falta para un 10","Llamada de una persona en menos de 48 horas")))</f>
        <v/>
      </c>
      <c r="H328" s="18" t="n"/>
      <c r="I328" s="19" t="n"/>
    </row>
    <row r="329">
      <c r="A329" s="17" t="n"/>
      <c r="B329" s="18" t="n"/>
      <c r="C329" s="19" t="n"/>
      <c r="D329" s="18" t="n"/>
      <c r="E329" s="18" t="n"/>
      <c r="F329" s="10">
        <f>IF(C329="","",IF(C329&gt;=9,"Promotor",IF(C329&gt;=7,"Pasivo","Detractor")))</f>
        <v/>
      </c>
      <c r="G329" s="20">
        <f>IF(F329="","",IF(F329="Promotor","Pedir reseña o recomendación",IF(F329="Pasivo","Preguntar qué le falta para un 10","Llamada de una persona en menos de 48 horas")))</f>
        <v/>
      </c>
      <c r="H329" s="18" t="n"/>
      <c r="I329" s="19" t="n"/>
    </row>
    <row r="330">
      <c r="A330" s="17" t="n"/>
      <c r="B330" s="18" t="n"/>
      <c r="C330" s="19" t="n"/>
      <c r="D330" s="18" t="n"/>
      <c r="E330" s="18" t="n"/>
      <c r="F330" s="10">
        <f>IF(C330="","",IF(C330&gt;=9,"Promotor",IF(C330&gt;=7,"Pasivo","Detractor")))</f>
        <v/>
      </c>
      <c r="G330" s="20">
        <f>IF(F330="","",IF(F330="Promotor","Pedir reseña o recomendación",IF(F330="Pasivo","Preguntar qué le falta para un 10","Llamada de una persona en menos de 48 horas")))</f>
        <v/>
      </c>
      <c r="H330" s="18" t="n"/>
      <c r="I330" s="19" t="n"/>
    </row>
    <row r="331">
      <c r="A331" s="17" t="n"/>
      <c r="B331" s="18" t="n"/>
      <c r="C331" s="19" t="n"/>
      <c r="D331" s="18" t="n"/>
      <c r="E331" s="18" t="n"/>
      <c r="F331" s="10">
        <f>IF(C331="","",IF(C331&gt;=9,"Promotor",IF(C331&gt;=7,"Pasivo","Detractor")))</f>
        <v/>
      </c>
      <c r="G331" s="20">
        <f>IF(F331="","",IF(F331="Promotor","Pedir reseña o recomendación",IF(F331="Pasivo","Preguntar qué le falta para un 10","Llamada de una persona en menos de 48 horas")))</f>
        <v/>
      </c>
      <c r="H331" s="18" t="n"/>
      <c r="I331" s="19" t="n"/>
    </row>
    <row r="332">
      <c r="A332" s="17" t="n"/>
      <c r="B332" s="18" t="n"/>
      <c r="C332" s="19" t="n"/>
      <c r="D332" s="18" t="n"/>
      <c r="E332" s="18" t="n"/>
      <c r="F332" s="10">
        <f>IF(C332="","",IF(C332&gt;=9,"Promotor",IF(C332&gt;=7,"Pasivo","Detractor")))</f>
        <v/>
      </c>
      <c r="G332" s="20">
        <f>IF(F332="","",IF(F332="Promotor","Pedir reseña o recomendación",IF(F332="Pasivo","Preguntar qué le falta para un 10","Llamada de una persona en menos de 48 horas")))</f>
        <v/>
      </c>
      <c r="H332" s="18" t="n"/>
      <c r="I332" s="19" t="n"/>
    </row>
    <row r="333">
      <c r="A333" s="17" t="n"/>
      <c r="B333" s="18" t="n"/>
      <c r="C333" s="19" t="n"/>
      <c r="D333" s="18" t="n"/>
      <c r="E333" s="18" t="n"/>
      <c r="F333" s="10">
        <f>IF(C333="","",IF(C333&gt;=9,"Promotor",IF(C333&gt;=7,"Pasivo","Detractor")))</f>
        <v/>
      </c>
      <c r="G333" s="20">
        <f>IF(F333="","",IF(F333="Promotor","Pedir reseña o recomendación",IF(F333="Pasivo","Preguntar qué le falta para un 10","Llamada de una persona en menos de 48 horas")))</f>
        <v/>
      </c>
      <c r="H333" s="18" t="n"/>
      <c r="I333" s="19" t="n"/>
    </row>
    <row r="334">
      <c r="A334" s="17" t="n"/>
      <c r="B334" s="18" t="n"/>
      <c r="C334" s="19" t="n"/>
      <c r="D334" s="18" t="n"/>
      <c r="E334" s="18" t="n"/>
      <c r="F334" s="10">
        <f>IF(C334="","",IF(C334&gt;=9,"Promotor",IF(C334&gt;=7,"Pasivo","Detractor")))</f>
        <v/>
      </c>
      <c r="G334" s="20">
        <f>IF(F334="","",IF(F334="Promotor","Pedir reseña o recomendación",IF(F334="Pasivo","Preguntar qué le falta para un 10","Llamada de una persona en menos de 48 horas")))</f>
        <v/>
      </c>
      <c r="H334" s="18" t="n"/>
      <c r="I334" s="19" t="n"/>
    </row>
    <row r="335">
      <c r="A335" s="17" t="n"/>
      <c r="B335" s="18" t="n"/>
      <c r="C335" s="19" t="n"/>
      <c r="D335" s="18" t="n"/>
      <c r="E335" s="18" t="n"/>
      <c r="F335" s="10">
        <f>IF(C335="","",IF(C335&gt;=9,"Promotor",IF(C335&gt;=7,"Pasivo","Detractor")))</f>
        <v/>
      </c>
      <c r="G335" s="20">
        <f>IF(F335="","",IF(F335="Promotor","Pedir reseña o recomendación",IF(F335="Pasivo","Preguntar qué le falta para un 10","Llamada de una persona en menos de 48 horas")))</f>
        <v/>
      </c>
      <c r="H335" s="18" t="n"/>
      <c r="I335" s="19" t="n"/>
    </row>
    <row r="336">
      <c r="A336" s="17" t="n"/>
      <c r="B336" s="18" t="n"/>
      <c r="C336" s="19" t="n"/>
      <c r="D336" s="18" t="n"/>
      <c r="E336" s="18" t="n"/>
      <c r="F336" s="10">
        <f>IF(C336="","",IF(C336&gt;=9,"Promotor",IF(C336&gt;=7,"Pasivo","Detractor")))</f>
        <v/>
      </c>
      <c r="G336" s="20">
        <f>IF(F336="","",IF(F336="Promotor","Pedir reseña o recomendación",IF(F336="Pasivo","Preguntar qué le falta para un 10","Llamada de una persona en menos de 48 horas")))</f>
        <v/>
      </c>
      <c r="H336" s="18" t="n"/>
      <c r="I336" s="19" t="n"/>
    </row>
    <row r="337">
      <c r="A337" s="17" t="n"/>
      <c r="B337" s="18" t="n"/>
      <c r="C337" s="19" t="n"/>
      <c r="D337" s="18" t="n"/>
      <c r="E337" s="18" t="n"/>
      <c r="F337" s="10">
        <f>IF(C337="","",IF(C337&gt;=9,"Promotor",IF(C337&gt;=7,"Pasivo","Detractor")))</f>
        <v/>
      </c>
      <c r="G337" s="20">
        <f>IF(F337="","",IF(F337="Promotor","Pedir reseña o recomendación",IF(F337="Pasivo","Preguntar qué le falta para un 10","Llamada de una persona en menos de 48 horas")))</f>
        <v/>
      </c>
      <c r="H337" s="18" t="n"/>
      <c r="I337" s="19" t="n"/>
    </row>
    <row r="338">
      <c r="A338" s="17" t="n"/>
      <c r="B338" s="18" t="n"/>
      <c r="C338" s="19" t="n"/>
      <c r="D338" s="18" t="n"/>
      <c r="E338" s="18" t="n"/>
      <c r="F338" s="10">
        <f>IF(C338="","",IF(C338&gt;=9,"Promotor",IF(C338&gt;=7,"Pasivo","Detractor")))</f>
        <v/>
      </c>
      <c r="G338" s="20">
        <f>IF(F338="","",IF(F338="Promotor","Pedir reseña o recomendación",IF(F338="Pasivo","Preguntar qué le falta para un 10","Llamada de una persona en menos de 48 horas")))</f>
        <v/>
      </c>
      <c r="H338" s="18" t="n"/>
      <c r="I338" s="19" t="n"/>
    </row>
    <row r="339">
      <c r="A339" s="17" t="n"/>
      <c r="B339" s="18" t="n"/>
      <c r="C339" s="19" t="n"/>
      <c r="D339" s="18" t="n"/>
      <c r="E339" s="18" t="n"/>
      <c r="F339" s="10">
        <f>IF(C339="","",IF(C339&gt;=9,"Promotor",IF(C339&gt;=7,"Pasivo","Detractor")))</f>
        <v/>
      </c>
      <c r="G339" s="20">
        <f>IF(F339="","",IF(F339="Promotor","Pedir reseña o recomendación",IF(F339="Pasivo","Preguntar qué le falta para un 10","Llamada de una persona en menos de 48 horas")))</f>
        <v/>
      </c>
      <c r="H339" s="18" t="n"/>
      <c r="I339" s="19" t="n"/>
    </row>
    <row r="340">
      <c r="A340" s="17" t="n"/>
      <c r="B340" s="18" t="n"/>
      <c r="C340" s="19" t="n"/>
      <c r="D340" s="18" t="n"/>
      <c r="E340" s="18" t="n"/>
      <c r="F340" s="10">
        <f>IF(C340="","",IF(C340&gt;=9,"Promotor",IF(C340&gt;=7,"Pasivo","Detractor")))</f>
        <v/>
      </c>
      <c r="G340" s="20">
        <f>IF(F340="","",IF(F340="Promotor","Pedir reseña o recomendación",IF(F340="Pasivo","Preguntar qué le falta para un 10","Llamada de una persona en menos de 48 horas")))</f>
        <v/>
      </c>
      <c r="H340" s="18" t="n"/>
      <c r="I340" s="19" t="n"/>
    </row>
    <row r="341">
      <c r="A341" s="17" t="n"/>
      <c r="B341" s="18" t="n"/>
      <c r="C341" s="19" t="n"/>
      <c r="D341" s="18" t="n"/>
      <c r="E341" s="18" t="n"/>
      <c r="F341" s="10">
        <f>IF(C341="","",IF(C341&gt;=9,"Promotor",IF(C341&gt;=7,"Pasivo","Detractor")))</f>
        <v/>
      </c>
      <c r="G341" s="20">
        <f>IF(F341="","",IF(F341="Promotor","Pedir reseña o recomendación",IF(F341="Pasivo","Preguntar qué le falta para un 10","Llamada de una persona en menos de 48 horas")))</f>
        <v/>
      </c>
      <c r="H341" s="18" t="n"/>
      <c r="I341" s="19" t="n"/>
    </row>
    <row r="342">
      <c r="A342" s="17" t="n"/>
      <c r="B342" s="18" t="n"/>
      <c r="C342" s="19" t="n"/>
      <c r="D342" s="18" t="n"/>
      <c r="E342" s="18" t="n"/>
      <c r="F342" s="10">
        <f>IF(C342="","",IF(C342&gt;=9,"Promotor",IF(C342&gt;=7,"Pasivo","Detractor")))</f>
        <v/>
      </c>
      <c r="G342" s="20">
        <f>IF(F342="","",IF(F342="Promotor","Pedir reseña o recomendación",IF(F342="Pasivo","Preguntar qué le falta para un 10","Llamada de una persona en menos de 48 horas")))</f>
        <v/>
      </c>
      <c r="H342" s="18" t="n"/>
      <c r="I342" s="19" t="n"/>
    </row>
    <row r="343">
      <c r="A343" s="17" t="n"/>
      <c r="B343" s="18" t="n"/>
      <c r="C343" s="19" t="n"/>
      <c r="D343" s="18" t="n"/>
      <c r="E343" s="18" t="n"/>
      <c r="F343" s="10">
        <f>IF(C343="","",IF(C343&gt;=9,"Promotor",IF(C343&gt;=7,"Pasivo","Detractor")))</f>
        <v/>
      </c>
      <c r="G343" s="20">
        <f>IF(F343="","",IF(F343="Promotor","Pedir reseña o recomendación",IF(F343="Pasivo","Preguntar qué le falta para un 10","Llamada de una persona en menos de 48 horas")))</f>
        <v/>
      </c>
      <c r="H343" s="18" t="n"/>
      <c r="I343" s="19" t="n"/>
    </row>
    <row r="344">
      <c r="A344" s="17" t="n"/>
      <c r="B344" s="18" t="n"/>
      <c r="C344" s="19" t="n"/>
      <c r="D344" s="18" t="n"/>
      <c r="E344" s="18" t="n"/>
      <c r="F344" s="10">
        <f>IF(C344="","",IF(C344&gt;=9,"Promotor",IF(C344&gt;=7,"Pasivo","Detractor")))</f>
        <v/>
      </c>
      <c r="G344" s="20">
        <f>IF(F344="","",IF(F344="Promotor","Pedir reseña o recomendación",IF(F344="Pasivo","Preguntar qué le falta para un 10","Llamada de una persona en menos de 48 horas")))</f>
        <v/>
      </c>
      <c r="H344" s="18" t="n"/>
      <c r="I344" s="19" t="n"/>
    </row>
    <row r="345">
      <c r="A345" s="17" t="n"/>
      <c r="B345" s="18" t="n"/>
      <c r="C345" s="19" t="n"/>
      <c r="D345" s="18" t="n"/>
      <c r="E345" s="18" t="n"/>
      <c r="F345" s="10">
        <f>IF(C345="","",IF(C345&gt;=9,"Promotor",IF(C345&gt;=7,"Pasivo","Detractor")))</f>
        <v/>
      </c>
      <c r="G345" s="20">
        <f>IF(F345="","",IF(F345="Promotor","Pedir reseña o recomendación",IF(F345="Pasivo","Preguntar qué le falta para un 10","Llamada de una persona en menos de 48 horas")))</f>
        <v/>
      </c>
      <c r="H345" s="18" t="n"/>
      <c r="I345" s="19" t="n"/>
    </row>
    <row r="346">
      <c r="A346" s="17" t="n"/>
      <c r="B346" s="18" t="n"/>
      <c r="C346" s="19" t="n"/>
      <c r="D346" s="18" t="n"/>
      <c r="E346" s="18" t="n"/>
      <c r="F346" s="10">
        <f>IF(C346="","",IF(C346&gt;=9,"Promotor",IF(C346&gt;=7,"Pasivo","Detractor")))</f>
        <v/>
      </c>
      <c r="G346" s="20">
        <f>IF(F346="","",IF(F346="Promotor","Pedir reseña o recomendación",IF(F346="Pasivo","Preguntar qué le falta para un 10","Llamada de una persona en menos de 48 horas")))</f>
        <v/>
      </c>
      <c r="H346" s="18" t="n"/>
      <c r="I346" s="19" t="n"/>
    </row>
    <row r="347">
      <c r="A347" s="17" t="n"/>
      <c r="B347" s="18" t="n"/>
      <c r="C347" s="19" t="n"/>
      <c r="D347" s="18" t="n"/>
      <c r="E347" s="18" t="n"/>
      <c r="F347" s="10">
        <f>IF(C347="","",IF(C347&gt;=9,"Promotor",IF(C347&gt;=7,"Pasivo","Detractor")))</f>
        <v/>
      </c>
      <c r="G347" s="20">
        <f>IF(F347="","",IF(F347="Promotor","Pedir reseña o recomendación",IF(F347="Pasivo","Preguntar qué le falta para un 10","Llamada de una persona en menos de 48 horas")))</f>
        <v/>
      </c>
      <c r="H347" s="18" t="n"/>
      <c r="I347" s="19" t="n"/>
    </row>
    <row r="348">
      <c r="A348" s="17" t="n"/>
      <c r="B348" s="18" t="n"/>
      <c r="C348" s="19" t="n"/>
      <c r="D348" s="18" t="n"/>
      <c r="E348" s="18" t="n"/>
      <c r="F348" s="10">
        <f>IF(C348="","",IF(C348&gt;=9,"Promotor",IF(C348&gt;=7,"Pasivo","Detractor")))</f>
        <v/>
      </c>
      <c r="G348" s="20">
        <f>IF(F348="","",IF(F348="Promotor","Pedir reseña o recomendación",IF(F348="Pasivo","Preguntar qué le falta para un 10","Llamada de una persona en menos de 48 horas")))</f>
        <v/>
      </c>
      <c r="H348" s="18" t="n"/>
      <c r="I348" s="19" t="n"/>
    </row>
    <row r="349">
      <c r="A349" s="17" t="n"/>
      <c r="B349" s="18" t="n"/>
      <c r="C349" s="19" t="n"/>
      <c r="D349" s="18" t="n"/>
      <c r="E349" s="18" t="n"/>
      <c r="F349" s="10">
        <f>IF(C349="","",IF(C349&gt;=9,"Promotor",IF(C349&gt;=7,"Pasivo","Detractor")))</f>
        <v/>
      </c>
      <c r="G349" s="20">
        <f>IF(F349="","",IF(F349="Promotor","Pedir reseña o recomendación",IF(F349="Pasivo","Preguntar qué le falta para un 10","Llamada de una persona en menos de 48 horas")))</f>
        <v/>
      </c>
      <c r="H349" s="18" t="n"/>
      <c r="I349" s="19" t="n"/>
    </row>
    <row r="350">
      <c r="A350" s="17" t="n"/>
      <c r="B350" s="18" t="n"/>
      <c r="C350" s="19" t="n"/>
      <c r="D350" s="18" t="n"/>
      <c r="E350" s="18" t="n"/>
      <c r="F350" s="10">
        <f>IF(C350="","",IF(C350&gt;=9,"Promotor",IF(C350&gt;=7,"Pasivo","Detractor")))</f>
        <v/>
      </c>
      <c r="G350" s="20">
        <f>IF(F350="","",IF(F350="Promotor","Pedir reseña o recomendación",IF(F350="Pasivo","Preguntar qué le falta para un 10","Llamada de una persona en menos de 48 horas")))</f>
        <v/>
      </c>
      <c r="H350" s="18" t="n"/>
      <c r="I350" s="19" t="n"/>
    </row>
    <row r="351">
      <c r="A351" s="17" t="n"/>
      <c r="B351" s="18" t="n"/>
      <c r="C351" s="19" t="n"/>
      <c r="D351" s="18" t="n"/>
      <c r="E351" s="18" t="n"/>
      <c r="F351" s="10">
        <f>IF(C351="","",IF(C351&gt;=9,"Promotor",IF(C351&gt;=7,"Pasivo","Detractor")))</f>
        <v/>
      </c>
      <c r="G351" s="20">
        <f>IF(F351="","",IF(F351="Promotor","Pedir reseña o recomendación",IF(F351="Pasivo","Preguntar qué le falta para un 10","Llamada de una persona en menos de 48 horas")))</f>
        <v/>
      </c>
      <c r="H351" s="18" t="n"/>
      <c r="I351" s="19" t="n"/>
    </row>
    <row r="352">
      <c r="A352" s="17" t="n"/>
      <c r="B352" s="18" t="n"/>
      <c r="C352" s="19" t="n"/>
      <c r="D352" s="18" t="n"/>
      <c r="E352" s="18" t="n"/>
      <c r="F352" s="10">
        <f>IF(C352="","",IF(C352&gt;=9,"Promotor",IF(C352&gt;=7,"Pasivo","Detractor")))</f>
        <v/>
      </c>
      <c r="G352" s="20">
        <f>IF(F352="","",IF(F352="Promotor","Pedir reseña o recomendación",IF(F352="Pasivo","Preguntar qué le falta para un 10","Llamada de una persona en menos de 48 horas")))</f>
        <v/>
      </c>
      <c r="H352" s="18" t="n"/>
      <c r="I352" s="19" t="n"/>
    </row>
    <row r="353">
      <c r="A353" s="17" t="n"/>
      <c r="B353" s="18" t="n"/>
      <c r="C353" s="19" t="n"/>
      <c r="D353" s="18" t="n"/>
      <c r="E353" s="18" t="n"/>
      <c r="F353" s="10">
        <f>IF(C353="","",IF(C353&gt;=9,"Promotor",IF(C353&gt;=7,"Pasivo","Detractor")))</f>
        <v/>
      </c>
      <c r="G353" s="20">
        <f>IF(F353="","",IF(F353="Promotor","Pedir reseña o recomendación",IF(F353="Pasivo","Preguntar qué le falta para un 10","Llamada de una persona en menos de 48 horas")))</f>
        <v/>
      </c>
      <c r="H353" s="18" t="n"/>
      <c r="I353" s="19" t="n"/>
    </row>
    <row r="354">
      <c r="A354" s="17" t="n"/>
      <c r="B354" s="18" t="n"/>
      <c r="C354" s="19" t="n"/>
      <c r="D354" s="18" t="n"/>
      <c r="E354" s="18" t="n"/>
      <c r="F354" s="10">
        <f>IF(C354="","",IF(C354&gt;=9,"Promotor",IF(C354&gt;=7,"Pasivo","Detractor")))</f>
        <v/>
      </c>
      <c r="G354" s="20">
        <f>IF(F354="","",IF(F354="Promotor","Pedir reseña o recomendación",IF(F354="Pasivo","Preguntar qué le falta para un 10","Llamada de una persona en menos de 48 horas")))</f>
        <v/>
      </c>
      <c r="H354" s="18" t="n"/>
      <c r="I354" s="19" t="n"/>
    </row>
    <row r="355">
      <c r="A355" s="17" t="n"/>
      <c r="B355" s="18" t="n"/>
      <c r="C355" s="19" t="n"/>
      <c r="D355" s="18" t="n"/>
      <c r="E355" s="18" t="n"/>
      <c r="F355" s="10">
        <f>IF(C355="","",IF(C355&gt;=9,"Promotor",IF(C355&gt;=7,"Pasivo","Detractor")))</f>
        <v/>
      </c>
      <c r="G355" s="20">
        <f>IF(F355="","",IF(F355="Promotor","Pedir reseña o recomendación",IF(F355="Pasivo","Preguntar qué le falta para un 10","Llamada de una persona en menos de 48 horas")))</f>
        <v/>
      </c>
      <c r="H355" s="18" t="n"/>
      <c r="I355" s="19" t="n"/>
    </row>
    <row r="356">
      <c r="A356" s="17" t="n"/>
      <c r="B356" s="18" t="n"/>
      <c r="C356" s="19" t="n"/>
      <c r="D356" s="18" t="n"/>
      <c r="E356" s="18" t="n"/>
      <c r="F356" s="10">
        <f>IF(C356="","",IF(C356&gt;=9,"Promotor",IF(C356&gt;=7,"Pasivo","Detractor")))</f>
        <v/>
      </c>
      <c r="G356" s="20">
        <f>IF(F356="","",IF(F356="Promotor","Pedir reseña o recomendación",IF(F356="Pasivo","Preguntar qué le falta para un 10","Llamada de una persona en menos de 48 horas")))</f>
        <v/>
      </c>
      <c r="H356" s="18" t="n"/>
      <c r="I356" s="19" t="n"/>
    </row>
    <row r="357">
      <c r="A357" s="17" t="n"/>
      <c r="B357" s="18" t="n"/>
      <c r="C357" s="19" t="n"/>
      <c r="D357" s="18" t="n"/>
      <c r="E357" s="18" t="n"/>
      <c r="F357" s="10">
        <f>IF(C357="","",IF(C357&gt;=9,"Promotor",IF(C357&gt;=7,"Pasivo","Detractor")))</f>
        <v/>
      </c>
      <c r="G357" s="20">
        <f>IF(F357="","",IF(F357="Promotor","Pedir reseña o recomendación",IF(F357="Pasivo","Preguntar qué le falta para un 10","Llamada de una persona en menos de 48 horas")))</f>
        <v/>
      </c>
      <c r="H357" s="18" t="n"/>
      <c r="I357" s="19" t="n"/>
    </row>
    <row r="358">
      <c r="A358" s="17" t="n"/>
      <c r="B358" s="18" t="n"/>
      <c r="C358" s="19" t="n"/>
      <c r="D358" s="18" t="n"/>
      <c r="E358" s="18" t="n"/>
      <c r="F358" s="10">
        <f>IF(C358="","",IF(C358&gt;=9,"Promotor",IF(C358&gt;=7,"Pasivo","Detractor")))</f>
        <v/>
      </c>
      <c r="G358" s="20">
        <f>IF(F358="","",IF(F358="Promotor","Pedir reseña o recomendación",IF(F358="Pasivo","Preguntar qué le falta para un 10","Llamada de una persona en menos de 48 horas")))</f>
        <v/>
      </c>
      <c r="H358" s="18" t="n"/>
      <c r="I358" s="19" t="n"/>
    </row>
    <row r="359">
      <c r="A359" s="17" t="n"/>
      <c r="B359" s="18" t="n"/>
      <c r="C359" s="19" t="n"/>
      <c r="D359" s="18" t="n"/>
      <c r="E359" s="18" t="n"/>
      <c r="F359" s="10">
        <f>IF(C359="","",IF(C359&gt;=9,"Promotor",IF(C359&gt;=7,"Pasivo","Detractor")))</f>
        <v/>
      </c>
      <c r="G359" s="20">
        <f>IF(F359="","",IF(F359="Promotor","Pedir reseña o recomendación",IF(F359="Pasivo","Preguntar qué le falta para un 10","Llamada de una persona en menos de 48 horas")))</f>
        <v/>
      </c>
      <c r="H359" s="18" t="n"/>
      <c r="I359" s="19" t="n"/>
    </row>
    <row r="360">
      <c r="A360" s="17" t="n"/>
      <c r="B360" s="18" t="n"/>
      <c r="C360" s="19" t="n"/>
      <c r="D360" s="18" t="n"/>
      <c r="E360" s="18" t="n"/>
      <c r="F360" s="10">
        <f>IF(C360="","",IF(C360&gt;=9,"Promotor",IF(C360&gt;=7,"Pasivo","Detractor")))</f>
        <v/>
      </c>
      <c r="G360" s="20">
        <f>IF(F360="","",IF(F360="Promotor","Pedir reseña o recomendación",IF(F360="Pasivo","Preguntar qué le falta para un 10","Llamada de una persona en menos de 48 horas")))</f>
        <v/>
      </c>
      <c r="H360" s="18" t="n"/>
      <c r="I360" s="19" t="n"/>
    </row>
    <row r="361">
      <c r="A361" s="17" t="n"/>
      <c r="B361" s="18" t="n"/>
      <c r="C361" s="19" t="n"/>
      <c r="D361" s="18" t="n"/>
      <c r="E361" s="18" t="n"/>
      <c r="F361" s="10">
        <f>IF(C361="","",IF(C361&gt;=9,"Promotor",IF(C361&gt;=7,"Pasivo","Detractor")))</f>
        <v/>
      </c>
      <c r="G361" s="20">
        <f>IF(F361="","",IF(F361="Promotor","Pedir reseña o recomendación",IF(F361="Pasivo","Preguntar qué le falta para un 10","Llamada de una persona en menos de 48 horas")))</f>
        <v/>
      </c>
      <c r="H361" s="18" t="n"/>
      <c r="I361" s="19" t="n"/>
    </row>
    <row r="362">
      <c r="A362" s="17" t="n"/>
      <c r="B362" s="18" t="n"/>
      <c r="C362" s="19" t="n"/>
      <c r="D362" s="18" t="n"/>
      <c r="E362" s="18" t="n"/>
      <c r="F362" s="10">
        <f>IF(C362="","",IF(C362&gt;=9,"Promotor",IF(C362&gt;=7,"Pasivo","Detractor")))</f>
        <v/>
      </c>
      <c r="G362" s="20">
        <f>IF(F362="","",IF(F362="Promotor","Pedir reseña o recomendación",IF(F362="Pasivo","Preguntar qué le falta para un 10","Llamada de una persona en menos de 48 horas")))</f>
        <v/>
      </c>
      <c r="H362" s="18" t="n"/>
      <c r="I362" s="19" t="n"/>
    </row>
    <row r="363">
      <c r="A363" s="17" t="n"/>
      <c r="B363" s="18" t="n"/>
      <c r="C363" s="19" t="n"/>
      <c r="D363" s="18" t="n"/>
      <c r="E363" s="18" t="n"/>
      <c r="F363" s="10">
        <f>IF(C363="","",IF(C363&gt;=9,"Promotor",IF(C363&gt;=7,"Pasivo","Detractor")))</f>
        <v/>
      </c>
      <c r="G363" s="20">
        <f>IF(F363="","",IF(F363="Promotor","Pedir reseña o recomendación",IF(F363="Pasivo","Preguntar qué le falta para un 10","Llamada de una persona en menos de 48 horas")))</f>
        <v/>
      </c>
      <c r="H363" s="18" t="n"/>
      <c r="I363" s="19" t="n"/>
    </row>
    <row r="364">
      <c r="A364" s="17" t="n"/>
      <c r="B364" s="18" t="n"/>
      <c r="C364" s="19" t="n"/>
      <c r="D364" s="18" t="n"/>
      <c r="E364" s="18" t="n"/>
      <c r="F364" s="10">
        <f>IF(C364="","",IF(C364&gt;=9,"Promotor",IF(C364&gt;=7,"Pasivo","Detractor")))</f>
        <v/>
      </c>
      <c r="G364" s="20">
        <f>IF(F364="","",IF(F364="Promotor","Pedir reseña o recomendación",IF(F364="Pasivo","Preguntar qué le falta para un 10","Llamada de una persona en menos de 48 horas")))</f>
        <v/>
      </c>
      <c r="H364" s="18" t="n"/>
      <c r="I364" s="19" t="n"/>
    </row>
    <row r="365">
      <c r="A365" s="17" t="n"/>
      <c r="B365" s="18" t="n"/>
      <c r="C365" s="19" t="n"/>
      <c r="D365" s="18" t="n"/>
      <c r="E365" s="18" t="n"/>
      <c r="F365" s="10">
        <f>IF(C365="","",IF(C365&gt;=9,"Promotor",IF(C365&gt;=7,"Pasivo","Detractor")))</f>
        <v/>
      </c>
      <c r="G365" s="20">
        <f>IF(F365="","",IF(F365="Promotor","Pedir reseña o recomendación",IF(F365="Pasivo","Preguntar qué le falta para un 10","Llamada de una persona en menos de 48 horas")))</f>
        <v/>
      </c>
      <c r="H365" s="18" t="n"/>
      <c r="I365" s="19" t="n"/>
    </row>
    <row r="366">
      <c r="A366" s="17" t="n"/>
      <c r="B366" s="18" t="n"/>
      <c r="C366" s="19" t="n"/>
      <c r="D366" s="18" t="n"/>
      <c r="E366" s="18" t="n"/>
      <c r="F366" s="10">
        <f>IF(C366="","",IF(C366&gt;=9,"Promotor",IF(C366&gt;=7,"Pasivo","Detractor")))</f>
        <v/>
      </c>
      <c r="G366" s="20">
        <f>IF(F366="","",IF(F366="Promotor","Pedir reseña o recomendación",IF(F366="Pasivo","Preguntar qué le falta para un 10","Llamada de una persona en menos de 48 horas")))</f>
        <v/>
      </c>
      <c r="H366" s="18" t="n"/>
      <c r="I366" s="19" t="n"/>
    </row>
    <row r="367">
      <c r="A367" s="17" t="n"/>
      <c r="B367" s="18" t="n"/>
      <c r="C367" s="19" t="n"/>
      <c r="D367" s="18" t="n"/>
      <c r="E367" s="18" t="n"/>
      <c r="F367" s="10">
        <f>IF(C367="","",IF(C367&gt;=9,"Promotor",IF(C367&gt;=7,"Pasivo","Detractor")))</f>
        <v/>
      </c>
      <c r="G367" s="20">
        <f>IF(F367="","",IF(F367="Promotor","Pedir reseña o recomendación",IF(F367="Pasivo","Preguntar qué le falta para un 10","Llamada de una persona en menos de 48 horas")))</f>
        <v/>
      </c>
      <c r="H367" s="18" t="n"/>
      <c r="I367" s="19" t="n"/>
    </row>
    <row r="368">
      <c r="A368" s="17" t="n"/>
      <c r="B368" s="18" t="n"/>
      <c r="C368" s="19" t="n"/>
      <c r="D368" s="18" t="n"/>
      <c r="E368" s="18" t="n"/>
      <c r="F368" s="10">
        <f>IF(C368="","",IF(C368&gt;=9,"Promotor",IF(C368&gt;=7,"Pasivo","Detractor")))</f>
        <v/>
      </c>
      <c r="G368" s="20">
        <f>IF(F368="","",IF(F368="Promotor","Pedir reseña o recomendación",IF(F368="Pasivo","Preguntar qué le falta para un 10","Llamada de una persona en menos de 48 horas")))</f>
        <v/>
      </c>
      <c r="H368" s="18" t="n"/>
      <c r="I368" s="19" t="n"/>
    </row>
    <row r="369">
      <c r="A369" s="17" t="n"/>
      <c r="B369" s="18" t="n"/>
      <c r="C369" s="19" t="n"/>
      <c r="D369" s="18" t="n"/>
      <c r="E369" s="18" t="n"/>
      <c r="F369" s="10">
        <f>IF(C369="","",IF(C369&gt;=9,"Promotor",IF(C369&gt;=7,"Pasivo","Detractor")))</f>
        <v/>
      </c>
      <c r="G369" s="20">
        <f>IF(F369="","",IF(F369="Promotor","Pedir reseña o recomendación",IF(F369="Pasivo","Preguntar qué le falta para un 10","Llamada de una persona en menos de 48 horas")))</f>
        <v/>
      </c>
      <c r="H369" s="18" t="n"/>
      <c r="I369" s="19" t="n"/>
    </row>
    <row r="370">
      <c r="A370" s="17" t="n"/>
      <c r="B370" s="18" t="n"/>
      <c r="C370" s="19" t="n"/>
      <c r="D370" s="18" t="n"/>
      <c r="E370" s="18" t="n"/>
      <c r="F370" s="10">
        <f>IF(C370="","",IF(C370&gt;=9,"Promotor",IF(C370&gt;=7,"Pasivo","Detractor")))</f>
        <v/>
      </c>
      <c r="G370" s="20">
        <f>IF(F370="","",IF(F370="Promotor","Pedir reseña o recomendación",IF(F370="Pasivo","Preguntar qué le falta para un 10","Llamada de una persona en menos de 48 horas")))</f>
        <v/>
      </c>
      <c r="H370" s="18" t="n"/>
      <c r="I370" s="19" t="n"/>
    </row>
    <row r="371">
      <c r="A371" s="17" t="n"/>
      <c r="B371" s="18" t="n"/>
      <c r="C371" s="19" t="n"/>
      <c r="D371" s="18" t="n"/>
      <c r="E371" s="18" t="n"/>
      <c r="F371" s="10">
        <f>IF(C371="","",IF(C371&gt;=9,"Promotor",IF(C371&gt;=7,"Pasivo","Detractor")))</f>
        <v/>
      </c>
      <c r="G371" s="20">
        <f>IF(F371="","",IF(F371="Promotor","Pedir reseña o recomendación",IF(F371="Pasivo","Preguntar qué le falta para un 10","Llamada de una persona en menos de 48 horas")))</f>
        <v/>
      </c>
      <c r="H371" s="18" t="n"/>
      <c r="I371" s="19" t="n"/>
    </row>
    <row r="372">
      <c r="A372" s="17" t="n"/>
      <c r="B372" s="18" t="n"/>
      <c r="C372" s="19" t="n"/>
      <c r="D372" s="18" t="n"/>
      <c r="E372" s="18" t="n"/>
      <c r="F372" s="10">
        <f>IF(C372="","",IF(C372&gt;=9,"Promotor",IF(C372&gt;=7,"Pasivo","Detractor")))</f>
        <v/>
      </c>
      <c r="G372" s="20">
        <f>IF(F372="","",IF(F372="Promotor","Pedir reseña o recomendación",IF(F372="Pasivo","Preguntar qué le falta para un 10","Llamada de una persona en menos de 48 horas")))</f>
        <v/>
      </c>
      <c r="H372" s="18" t="n"/>
      <c r="I372" s="19" t="n"/>
    </row>
    <row r="373">
      <c r="A373" s="17" t="n"/>
      <c r="B373" s="18" t="n"/>
      <c r="C373" s="19" t="n"/>
      <c r="D373" s="18" t="n"/>
      <c r="E373" s="18" t="n"/>
      <c r="F373" s="10">
        <f>IF(C373="","",IF(C373&gt;=9,"Promotor",IF(C373&gt;=7,"Pasivo","Detractor")))</f>
        <v/>
      </c>
      <c r="G373" s="20">
        <f>IF(F373="","",IF(F373="Promotor","Pedir reseña o recomendación",IF(F373="Pasivo","Preguntar qué le falta para un 10","Llamada de una persona en menos de 48 horas")))</f>
        <v/>
      </c>
      <c r="H373" s="18" t="n"/>
      <c r="I373" s="19" t="n"/>
    </row>
    <row r="374">
      <c r="A374" s="17" t="n"/>
      <c r="B374" s="18" t="n"/>
      <c r="C374" s="19" t="n"/>
      <c r="D374" s="18" t="n"/>
      <c r="E374" s="18" t="n"/>
      <c r="F374" s="10">
        <f>IF(C374="","",IF(C374&gt;=9,"Promotor",IF(C374&gt;=7,"Pasivo","Detractor")))</f>
        <v/>
      </c>
      <c r="G374" s="20">
        <f>IF(F374="","",IF(F374="Promotor","Pedir reseña o recomendación",IF(F374="Pasivo","Preguntar qué le falta para un 10","Llamada de una persona en menos de 48 horas")))</f>
        <v/>
      </c>
      <c r="H374" s="18" t="n"/>
      <c r="I374" s="19" t="n"/>
    </row>
    <row r="375">
      <c r="A375" s="17" t="n"/>
      <c r="B375" s="18" t="n"/>
      <c r="C375" s="19" t="n"/>
      <c r="D375" s="18" t="n"/>
      <c r="E375" s="18" t="n"/>
      <c r="F375" s="10">
        <f>IF(C375="","",IF(C375&gt;=9,"Promotor",IF(C375&gt;=7,"Pasivo","Detractor")))</f>
        <v/>
      </c>
      <c r="G375" s="20">
        <f>IF(F375="","",IF(F375="Promotor","Pedir reseña o recomendación",IF(F375="Pasivo","Preguntar qué le falta para un 10","Llamada de una persona en menos de 48 horas")))</f>
        <v/>
      </c>
      <c r="H375" s="18" t="n"/>
      <c r="I375" s="19" t="n"/>
    </row>
    <row r="376">
      <c r="A376" s="17" t="n"/>
      <c r="B376" s="18" t="n"/>
      <c r="C376" s="19" t="n"/>
      <c r="D376" s="18" t="n"/>
      <c r="E376" s="18" t="n"/>
      <c r="F376" s="10">
        <f>IF(C376="","",IF(C376&gt;=9,"Promotor",IF(C376&gt;=7,"Pasivo","Detractor")))</f>
        <v/>
      </c>
      <c r="G376" s="20">
        <f>IF(F376="","",IF(F376="Promotor","Pedir reseña o recomendación",IF(F376="Pasivo","Preguntar qué le falta para un 10","Llamada de una persona en menos de 48 horas")))</f>
        <v/>
      </c>
      <c r="H376" s="18" t="n"/>
      <c r="I376" s="19" t="n"/>
    </row>
    <row r="377">
      <c r="A377" s="17" t="n"/>
      <c r="B377" s="18" t="n"/>
      <c r="C377" s="19" t="n"/>
      <c r="D377" s="18" t="n"/>
      <c r="E377" s="18" t="n"/>
      <c r="F377" s="10">
        <f>IF(C377="","",IF(C377&gt;=9,"Promotor",IF(C377&gt;=7,"Pasivo","Detractor")))</f>
        <v/>
      </c>
      <c r="G377" s="20">
        <f>IF(F377="","",IF(F377="Promotor","Pedir reseña o recomendación",IF(F377="Pasivo","Preguntar qué le falta para un 10","Llamada de una persona en menos de 48 horas")))</f>
        <v/>
      </c>
      <c r="H377" s="18" t="n"/>
      <c r="I377" s="19" t="n"/>
    </row>
    <row r="378">
      <c r="A378" s="17" t="n"/>
      <c r="B378" s="18" t="n"/>
      <c r="C378" s="19" t="n"/>
      <c r="D378" s="18" t="n"/>
      <c r="E378" s="18" t="n"/>
      <c r="F378" s="10">
        <f>IF(C378="","",IF(C378&gt;=9,"Promotor",IF(C378&gt;=7,"Pasivo","Detractor")))</f>
        <v/>
      </c>
      <c r="G378" s="20">
        <f>IF(F378="","",IF(F378="Promotor","Pedir reseña o recomendación",IF(F378="Pasivo","Preguntar qué le falta para un 10","Llamada de una persona en menos de 48 horas")))</f>
        <v/>
      </c>
      <c r="H378" s="18" t="n"/>
      <c r="I378" s="19" t="n"/>
    </row>
    <row r="379">
      <c r="A379" s="17" t="n"/>
      <c r="B379" s="18" t="n"/>
      <c r="C379" s="19" t="n"/>
      <c r="D379" s="18" t="n"/>
      <c r="E379" s="18" t="n"/>
      <c r="F379" s="10">
        <f>IF(C379="","",IF(C379&gt;=9,"Promotor",IF(C379&gt;=7,"Pasivo","Detractor")))</f>
        <v/>
      </c>
      <c r="G379" s="20">
        <f>IF(F379="","",IF(F379="Promotor","Pedir reseña o recomendación",IF(F379="Pasivo","Preguntar qué le falta para un 10","Llamada de una persona en menos de 48 horas")))</f>
        <v/>
      </c>
      <c r="H379" s="18" t="n"/>
      <c r="I379" s="19" t="n"/>
    </row>
    <row r="380">
      <c r="A380" s="17" t="n"/>
      <c r="B380" s="18" t="n"/>
      <c r="C380" s="19" t="n"/>
      <c r="D380" s="18" t="n"/>
      <c r="E380" s="18" t="n"/>
      <c r="F380" s="10">
        <f>IF(C380="","",IF(C380&gt;=9,"Promotor",IF(C380&gt;=7,"Pasivo","Detractor")))</f>
        <v/>
      </c>
      <c r="G380" s="20">
        <f>IF(F380="","",IF(F380="Promotor","Pedir reseña o recomendación",IF(F380="Pasivo","Preguntar qué le falta para un 10","Llamada de una persona en menos de 48 horas")))</f>
        <v/>
      </c>
      <c r="H380" s="18" t="n"/>
      <c r="I380" s="19" t="n"/>
    </row>
    <row r="381">
      <c r="A381" s="17" t="n"/>
      <c r="B381" s="18" t="n"/>
      <c r="C381" s="19" t="n"/>
      <c r="D381" s="18" t="n"/>
      <c r="E381" s="18" t="n"/>
      <c r="F381" s="10">
        <f>IF(C381="","",IF(C381&gt;=9,"Promotor",IF(C381&gt;=7,"Pasivo","Detractor")))</f>
        <v/>
      </c>
      <c r="G381" s="20">
        <f>IF(F381="","",IF(F381="Promotor","Pedir reseña o recomendación",IF(F381="Pasivo","Preguntar qué le falta para un 10","Llamada de una persona en menos de 48 horas")))</f>
        <v/>
      </c>
      <c r="H381" s="18" t="n"/>
      <c r="I381" s="19" t="n"/>
    </row>
    <row r="382">
      <c r="A382" s="17" t="n"/>
      <c r="B382" s="18" t="n"/>
      <c r="C382" s="19" t="n"/>
      <c r="D382" s="18" t="n"/>
      <c r="E382" s="18" t="n"/>
      <c r="F382" s="10">
        <f>IF(C382="","",IF(C382&gt;=9,"Promotor",IF(C382&gt;=7,"Pasivo","Detractor")))</f>
        <v/>
      </c>
      <c r="G382" s="20">
        <f>IF(F382="","",IF(F382="Promotor","Pedir reseña o recomendación",IF(F382="Pasivo","Preguntar qué le falta para un 10","Llamada de una persona en menos de 48 horas")))</f>
        <v/>
      </c>
      <c r="H382" s="18" t="n"/>
      <c r="I382" s="19" t="n"/>
    </row>
    <row r="383">
      <c r="A383" s="17" t="n"/>
      <c r="B383" s="18" t="n"/>
      <c r="C383" s="19" t="n"/>
      <c r="D383" s="18" t="n"/>
      <c r="E383" s="18" t="n"/>
      <c r="F383" s="10">
        <f>IF(C383="","",IF(C383&gt;=9,"Promotor",IF(C383&gt;=7,"Pasivo","Detractor")))</f>
        <v/>
      </c>
      <c r="G383" s="20">
        <f>IF(F383="","",IF(F383="Promotor","Pedir reseña o recomendación",IF(F383="Pasivo","Preguntar qué le falta para un 10","Llamada de una persona en menos de 48 horas")))</f>
        <v/>
      </c>
      <c r="H383" s="18" t="n"/>
      <c r="I383" s="19" t="n"/>
    </row>
    <row r="384">
      <c r="A384" s="17" t="n"/>
      <c r="B384" s="18" t="n"/>
      <c r="C384" s="19" t="n"/>
      <c r="D384" s="18" t="n"/>
      <c r="E384" s="18" t="n"/>
      <c r="F384" s="10">
        <f>IF(C384="","",IF(C384&gt;=9,"Promotor",IF(C384&gt;=7,"Pasivo","Detractor")))</f>
        <v/>
      </c>
      <c r="G384" s="20">
        <f>IF(F384="","",IF(F384="Promotor","Pedir reseña o recomendación",IF(F384="Pasivo","Preguntar qué le falta para un 10","Llamada de una persona en menos de 48 horas")))</f>
        <v/>
      </c>
      <c r="H384" s="18" t="n"/>
      <c r="I384" s="19" t="n"/>
    </row>
    <row r="385">
      <c r="A385" s="17" t="n"/>
      <c r="B385" s="18" t="n"/>
      <c r="C385" s="19" t="n"/>
      <c r="D385" s="18" t="n"/>
      <c r="E385" s="18" t="n"/>
      <c r="F385" s="10">
        <f>IF(C385="","",IF(C385&gt;=9,"Promotor",IF(C385&gt;=7,"Pasivo","Detractor")))</f>
        <v/>
      </c>
      <c r="G385" s="20">
        <f>IF(F385="","",IF(F385="Promotor","Pedir reseña o recomendación",IF(F385="Pasivo","Preguntar qué le falta para un 10","Llamada de una persona en menos de 48 horas")))</f>
        <v/>
      </c>
      <c r="H385" s="18" t="n"/>
      <c r="I385" s="19" t="n"/>
    </row>
    <row r="386">
      <c r="A386" s="17" t="n"/>
      <c r="B386" s="18" t="n"/>
      <c r="C386" s="19" t="n"/>
      <c r="D386" s="18" t="n"/>
      <c r="E386" s="18" t="n"/>
      <c r="F386" s="10">
        <f>IF(C386="","",IF(C386&gt;=9,"Promotor",IF(C386&gt;=7,"Pasivo","Detractor")))</f>
        <v/>
      </c>
      <c r="G386" s="20">
        <f>IF(F386="","",IF(F386="Promotor","Pedir reseña o recomendación",IF(F386="Pasivo","Preguntar qué le falta para un 10","Llamada de una persona en menos de 48 horas")))</f>
        <v/>
      </c>
      <c r="H386" s="18" t="n"/>
      <c r="I386" s="19" t="n"/>
    </row>
    <row r="387">
      <c r="A387" s="17" t="n"/>
      <c r="B387" s="18" t="n"/>
      <c r="C387" s="19" t="n"/>
      <c r="D387" s="18" t="n"/>
      <c r="E387" s="18" t="n"/>
      <c r="F387" s="10">
        <f>IF(C387="","",IF(C387&gt;=9,"Promotor",IF(C387&gt;=7,"Pasivo","Detractor")))</f>
        <v/>
      </c>
      <c r="G387" s="20">
        <f>IF(F387="","",IF(F387="Promotor","Pedir reseña o recomendación",IF(F387="Pasivo","Preguntar qué le falta para un 10","Llamada de una persona en menos de 48 horas")))</f>
        <v/>
      </c>
      <c r="H387" s="18" t="n"/>
      <c r="I387" s="19" t="n"/>
    </row>
    <row r="388">
      <c r="A388" s="17" t="n"/>
      <c r="B388" s="18" t="n"/>
      <c r="C388" s="19" t="n"/>
      <c r="D388" s="18" t="n"/>
      <c r="E388" s="18" t="n"/>
      <c r="F388" s="10">
        <f>IF(C388="","",IF(C388&gt;=9,"Promotor",IF(C388&gt;=7,"Pasivo","Detractor")))</f>
        <v/>
      </c>
      <c r="G388" s="20">
        <f>IF(F388="","",IF(F388="Promotor","Pedir reseña o recomendación",IF(F388="Pasivo","Preguntar qué le falta para un 10","Llamada de una persona en menos de 48 horas")))</f>
        <v/>
      </c>
      <c r="H388" s="18" t="n"/>
      <c r="I388" s="19" t="n"/>
    </row>
    <row r="389">
      <c r="A389" s="17" t="n"/>
      <c r="B389" s="18" t="n"/>
      <c r="C389" s="19" t="n"/>
      <c r="D389" s="18" t="n"/>
      <c r="E389" s="18" t="n"/>
      <c r="F389" s="10">
        <f>IF(C389="","",IF(C389&gt;=9,"Promotor",IF(C389&gt;=7,"Pasivo","Detractor")))</f>
        <v/>
      </c>
      <c r="G389" s="20">
        <f>IF(F389="","",IF(F389="Promotor","Pedir reseña o recomendación",IF(F389="Pasivo","Preguntar qué le falta para un 10","Llamada de una persona en menos de 48 horas")))</f>
        <v/>
      </c>
      <c r="H389" s="18" t="n"/>
      <c r="I389" s="19" t="n"/>
    </row>
    <row r="390">
      <c r="A390" s="17" t="n"/>
      <c r="B390" s="18" t="n"/>
      <c r="C390" s="19" t="n"/>
      <c r="D390" s="18" t="n"/>
      <c r="E390" s="18" t="n"/>
      <c r="F390" s="10">
        <f>IF(C390="","",IF(C390&gt;=9,"Promotor",IF(C390&gt;=7,"Pasivo","Detractor")))</f>
        <v/>
      </c>
      <c r="G390" s="20">
        <f>IF(F390="","",IF(F390="Promotor","Pedir reseña o recomendación",IF(F390="Pasivo","Preguntar qué le falta para un 10","Llamada de una persona en menos de 48 horas")))</f>
        <v/>
      </c>
      <c r="H390" s="18" t="n"/>
      <c r="I390" s="19" t="n"/>
    </row>
    <row r="391">
      <c r="A391" s="17" t="n"/>
      <c r="B391" s="18" t="n"/>
      <c r="C391" s="19" t="n"/>
      <c r="D391" s="18" t="n"/>
      <c r="E391" s="18" t="n"/>
      <c r="F391" s="10">
        <f>IF(C391="","",IF(C391&gt;=9,"Promotor",IF(C391&gt;=7,"Pasivo","Detractor")))</f>
        <v/>
      </c>
      <c r="G391" s="20">
        <f>IF(F391="","",IF(F391="Promotor","Pedir reseña o recomendación",IF(F391="Pasivo","Preguntar qué le falta para un 10","Llamada de una persona en menos de 48 horas")))</f>
        <v/>
      </c>
      <c r="H391" s="18" t="n"/>
      <c r="I391" s="19" t="n"/>
    </row>
    <row r="392">
      <c r="A392" s="17" t="n"/>
      <c r="B392" s="18" t="n"/>
      <c r="C392" s="19" t="n"/>
      <c r="D392" s="18" t="n"/>
      <c r="E392" s="18" t="n"/>
      <c r="F392" s="10">
        <f>IF(C392="","",IF(C392&gt;=9,"Promotor",IF(C392&gt;=7,"Pasivo","Detractor")))</f>
        <v/>
      </c>
      <c r="G392" s="20">
        <f>IF(F392="","",IF(F392="Promotor","Pedir reseña o recomendación",IF(F392="Pasivo","Preguntar qué le falta para un 10","Llamada de una persona en menos de 48 horas")))</f>
        <v/>
      </c>
      <c r="H392" s="18" t="n"/>
      <c r="I392" s="19" t="n"/>
    </row>
    <row r="393">
      <c r="A393" s="17" t="n"/>
      <c r="B393" s="18" t="n"/>
      <c r="C393" s="19" t="n"/>
      <c r="D393" s="18" t="n"/>
      <c r="E393" s="18" t="n"/>
      <c r="F393" s="10">
        <f>IF(C393="","",IF(C393&gt;=9,"Promotor",IF(C393&gt;=7,"Pasivo","Detractor")))</f>
        <v/>
      </c>
      <c r="G393" s="20">
        <f>IF(F393="","",IF(F393="Promotor","Pedir reseña o recomendación",IF(F393="Pasivo","Preguntar qué le falta para un 10","Llamada de una persona en menos de 48 horas")))</f>
        <v/>
      </c>
      <c r="H393" s="18" t="n"/>
      <c r="I393" s="19" t="n"/>
    </row>
    <row r="394">
      <c r="A394" s="17" t="n"/>
      <c r="B394" s="18" t="n"/>
      <c r="C394" s="19" t="n"/>
      <c r="D394" s="18" t="n"/>
      <c r="E394" s="18" t="n"/>
      <c r="F394" s="10">
        <f>IF(C394="","",IF(C394&gt;=9,"Promotor",IF(C394&gt;=7,"Pasivo","Detractor")))</f>
        <v/>
      </c>
      <c r="G394" s="20">
        <f>IF(F394="","",IF(F394="Promotor","Pedir reseña o recomendación",IF(F394="Pasivo","Preguntar qué le falta para un 10","Llamada de una persona en menos de 48 horas")))</f>
        <v/>
      </c>
      <c r="H394" s="18" t="n"/>
      <c r="I394" s="19" t="n"/>
    </row>
    <row r="395">
      <c r="A395" s="17" t="n"/>
      <c r="B395" s="18" t="n"/>
      <c r="C395" s="19" t="n"/>
      <c r="D395" s="18" t="n"/>
      <c r="E395" s="18" t="n"/>
      <c r="F395" s="10">
        <f>IF(C395="","",IF(C395&gt;=9,"Promotor",IF(C395&gt;=7,"Pasivo","Detractor")))</f>
        <v/>
      </c>
      <c r="G395" s="20">
        <f>IF(F395="","",IF(F395="Promotor","Pedir reseña o recomendación",IF(F395="Pasivo","Preguntar qué le falta para un 10","Llamada de una persona en menos de 48 horas")))</f>
        <v/>
      </c>
      <c r="H395" s="18" t="n"/>
      <c r="I395" s="19" t="n"/>
    </row>
    <row r="396">
      <c r="A396" s="17" t="n"/>
      <c r="B396" s="18" t="n"/>
      <c r="C396" s="19" t="n"/>
      <c r="D396" s="18" t="n"/>
      <c r="E396" s="18" t="n"/>
      <c r="F396" s="10">
        <f>IF(C396="","",IF(C396&gt;=9,"Promotor",IF(C396&gt;=7,"Pasivo","Detractor")))</f>
        <v/>
      </c>
      <c r="G396" s="20">
        <f>IF(F396="","",IF(F396="Promotor","Pedir reseña o recomendación",IF(F396="Pasivo","Preguntar qué le falta para un 10","Llamada de una persona en menos de 48 horas")))</f>
        <v/>
      </c>
      <c r="H396" s="18" t="n"/>
      <c r="I396" s="19" t="n"/>
    </row>
    <row r="397">
      <c r="A397" s="17" t="n"/>
      <c r="B397" s="18" t="n"/>
      <c r="C397" s="19" t="n"/>
      <c r="D397" s="18" t="n"/>
      <c r="E397" s="18" t="n"/>
      <c r="F397" s="10">
        <f>IF(C397="","",IF(C397&gt;=9,"Promotor",IF(C397&gt;=7,"Pasivo","Detractor")))</f>
        <v/>
      </c>
      <c r="G397" s="20">
        <f>IF(F397="","",IF(F397="Promotor","Pedir reseña o recomendación",IF(F397="Pasivo","Preguntar qué le falta para un 10","Llamada de una persona en menos de 48 horas")))</f>
        <v/>
      </c>
      <c r="H397" s="18" t="n"/>
      <c r="I397" s="19" t="n"/>
    </row>
    <row r="398">
      <c r="A398" s="17" t="n"/>
      <c r="B398" s="18" t="n"/>
      <c r="C398" s="19" t="n"/>
      <c r="D398" s="18" t="n"/>
      <c r="E398" s="18" t="n"/>
      <c r="F398" s="10">
        <f>IF(C398="","",IF(C398&gt;=9,"Promotor",IF(C398&gt;=7,"Pasivo","Detractor")))</f>
        <v/>
      </c>
      <c r="G398" s="20">
        <f>IF(F398="","",IF(F398="Promotor","Pedir reseña o recomendación",IF(F398="Pasivo","Preguntar qué le falta para un 10","Llamada de una persona en menos de 48 horas")))</f>
        <v/>
      </c>
      <c r="H398" s="18" t="n"/>
      <c r="I398" s="19" t="n"/>
    </row>
    <row r="399">
      <c r="A399" s="17" t="n"/>
      <c r="B399" s="18" t="n"/>
      <c r="C399" s="19" t="n"/>
      <c r="D399" s="18" t="n"/>
      <c r="E399" s="18" t="n"/>
      <c r="F399" s="10">
        <f>IF(C399="","",IF(C399&gt;=9,"Promotor",IF(C399&gt;=7,"Pasivo","Detractor")))</f>
        <v/>
      </c>
      <c r="G399" s="20">
        <f>IF(F399="","",IF(F399="Promotor","Pedir reseña o recomendación",IF(F399="Pasivo","Preguntar qué le falta para un 10","Llamada de una persona en menos de 48 horas")))</f>
        <v/>
      </c>
      <c r="H399" s="18" t="n"/>
      <c r="I399" s="19" t="n"/>
    </row>
    <row r="400">
      <c r="A400" s="17" t="n"/>
      <c r="B400" s="18" t="n"/>
      <c r="C400" s="19" t="n"/>
      <c r="D400" s="18" t="n"/>
      <c r="E400" s="18" t="n"/>
      <c r="F400" s="10">
        <f>IF(C400="","",IF(C400&gt;=9,"Promotor",IF(C400&gt;=7,"Pasivo","Detractor")))</f>
        <v/>
      </c>
      <c r="G400" s="20">
        <f>IF(F400="","",IF(F400="Promotor","Pedir reseña o recomendación",IF(F400="Pasivo","Preguntar qué le falta para un 10","Llamada de una persona en menos de 48 horas")))</f>
        <v/>
      </c>
      <c r="H400" s="18" t="n"/>
      <c r="I400" s="19" t="n"/>
    </row>
    <row r="401">
      <c r="A401" s="17" t="n"/>
      <c r="B401" s="18" t="n"/>
      <c r="C401" s="19" t="n"/>
      <c r="D401" s="18" t="n"/>
      <c r="E401" s="18" t="n"/>
      <c r="F401" s="10">
        <f>IF(C401="","",IF(C401&gt;=9,"Promotor",IF(C401&gt;=7,"Pasivo","Detractor")))</f>
        <v/>
      </c>
      <c r="G401" s="20">
        <f>IF(F401="","",IF(F401="Promotor","Pedir reseña o recomendación",IF(F401="Pasivo","Preguntar qué le falta para un 10","Llamada de una persona en menos de 48 horas")))</f>
        <v/>
      </c>
      <c r="H401" s="18" t="n"/>
      <c r="I401" s="19" t="n"/>
    </row>
    <row r="402">
      <c r="A402" s="17" t="n"/>
      <c r="B402" s="18" t="n"/>
      <c r="C402" s="19" t="n"/>
      <c r="D402" s="18" t="n"/>
      <c r="E402" s="18" t="n"/>
      <c r="F402" s="10">
        <f>IF(C402="","",IF(C402&gt;=9,"Promotor",IF(C402&gt;=7,"Pasivo","Detractor")))</f>
        <v/>
      </c>
      <c r="G402" s="20">
        <f>IF(F402="","",IF(F402="Promotor","Pedir reseña o recomendación",IF(F402="Pasivo","Preguntar qué le falta para un 10","Llamada de una persona en menos de 48 horas")))</f>
        <v/>
      </c>
      <c r="H402" s="18" t="n"/>
      <c r="I402" s="19" t="n"/>
    </row>
    <row r="403">
      <c r="A403" s="17" t="n"/>
      <c r="B403" s="18" t="n"/>
      <c r="C403" s="19" t="n"/>
      <c r="D403" s="18" t="n"/>
      <c r="E403" s="18" t="n"/>
      <c r="F403" s="10">
        <f>IF(C403="","",IF(C403&gt;=9,"Promotor",IF(C403&gt;=7,"Pasivo","Detractor")))</f>
        <v/>
      </c>
      <c r="G403" s="20">
        <f>IF(F403="","",IF(F403="Promotor","Pedir reseña o recomendación",IF(F403="Pasivo","Preguntar qué le falta para un 10","Llamada de una persona en menos de 48 horas")))</f>
        <v/>
      </c>
      <c r="H403" s="18" t="n"/>
      <c r="I403" s="19" t="n"/>
    </row>
    <row r="404">
      <c r="A404" s="17" t="n"/>
      <c r="B404" s="18" t="n"/>
      <c r="C404" s="19" t="n"/>
      <c r="D404" s="18" t="n"/>
      <c r="E404" s="18" t="n"/>
      <c r="F404" s="10">
        <f>IF(C404="","",IF(C404&gt;=9,"Promotor",IF(C404&gt;=7,"Pasivo","Detractor")))</f>
        <v/>
      </c>
      <c r="G404" s="20">
        <f>IF(F404="","",IF(F404="Promotor","Pedir reseña o recomendación",IF(F404="Pasivo","Preguntar qué le falta para un 10","Llamada de una persona en menos de 48 horas")))</f>
        <v/>
      </c>
      <c r="H404" s="18" t="n"/>
      <c r="I404" s="19" t="n"/>
    </row>
    <row r="405">
      <c r="A405" s="17" t="n"/>
      <c r="B405" s="18" t="n"/>
      <c r="C405" s="19" t="n"/>
      <c r="D405" s="18" t="n"/>
      <c r="E405" s="18" t="n"/>
      <c r="F405" s="10">
        <f>IF(C405="","",IF(C405&gt;=9,"Promotor",IF(C405&gt;=7,"Pasivo","Detractor")))</f>
        <v/>
      </c>
      <c r="G405" s="20">
        <f>IF(F405="","",IF(F405="Promotor","Pedir reseña o recomendación",IF(F405="Pasivo","Preguntar qué le falta para un 10","Llamada de una persona en menos de 48 horas")))</f>
        <v/>
      </c>
      <c r="H405" s="18" t="n"/>
      <c r="I405" s="19" t="n"/>
    </row>
    <row r="406">
      <c r="A406" s="17" t="n"/>
      <c r="B406" s="18" t="n"/>
      <c r="C406" s="19" t="n"/>
      <c r="D406" s="18" t="n"/>
      <c r="E406" s="18" t="n"/>
      <c r="F406" s="10">
        <f>IF(C406="","",IF(C406&gt;=9,"Promotor",IF(C406&gt;=7,"Pasivo","Detractor")))</f>
        <v/>
      </c>
      <c r="G406" s="20">
        <f>IF(F406="","",IF(F406="Promotor","Pedir reseña o recomendación",IF(F406="Pasivo","Preguntar qué le falta para un 10","Llamada de una persona en menos de 48 horas")))</f>
        <v/>
      </c>
      <c r="H406" s="18" t="n"/>
      <c r="I406" s="19" t="n"/>
    </row>
    <row r="407">
      <c r="A407" s="17" t="n"/>
      <c r="B407" s="18" t="n"/>
      <c r="C407" s="19" t="n"/>
      <c r="D407" s="18" t="n"/>
      <c r="E407" s="18" t="n"/>
      <c r="F407" s="10">
        <f>IF(C407="","",IF(C407&gt;=9,"Promotor",IF(C407&gt;=7,"Pasivo","Detractor")))</f>
        <v/>
      </c>
      <c r="G407" s="20">
        <f>IF(F407="","",IF(F407="Promotor","Pedir reseña o recomendación",IF(F407="Pasivo","Preguntar qué le falta para un 10","Llamada de una persona en menos de 48 horas")))</f>
        <v/>
      </c>
      <c r="H407" s="18" t="n"/>
      <c r="I407" s="19" t="n"/>
    </row>
    <row r="408">
      <c r="A408" s="17" t="n"/>
      <c r="B408" s="18" t="n"/>
      <c r="C408" s="19" t="n"/>
      <c r="D408" s="18" t="n"/>
      <c r="E408" s="18" t="n"/>
      <c r="F408" s="10">
        <f>IF(C408="","",IF(C408&gt;=9,"Promotor",IF(C408&gt;=7,"Pasivo","Detractor")))</f>
        <v/>
      </c>
      <c r="G408" s="20">
        <f>IF(F408="","",IF(F408="Promotor","Pedir reseña o recomendación",IF(F408="Pasivo","Preguntar qué le falta para un 10","Llamada de una persona en menos de 48 horas")))</f>
        <v/>
      </c>
      <c r="H408" s="18" t="n"/>
      <c r="I408" s="19" t="n"/>
    </row>
    <row r="409">
      <c r="A409" s="17" t="n"/>
      <c r="B409" s="18" t="n"/>
      <c r="C409" s="19" t="n"/>
      <c r="D409" s="18" t="n"/>
      <c r="E409" s="18" t="n"/>
      <c r="F409" s="10">
        <f>IF(C409="","",IF(C409&gt;=9,"Promotor",IF(C409&gt;=7,"Pasivo","Detractor")))</f>
        <v/>
      </c>
      <c r="G409" s="20">
        <f>IF(F409="","",IF(F409="Promotor","Pedir reseña o recomendación",IF(F409="Pasivo","Preguntar qué le falta para un 10","Llamada de una persona en menos de 48 horas")))</f>
        <v/>
      </c>
      <c r="H409" s="18" t="n"/>
      <c r="I409" s="19" t="n"/>
    </row>
    <row r="410">
      <c r="A410" s="17" t="n"/>
      <c r="B410" s="18" t="n"/>
      <c r="C410" s="19" t="n"/>
      <c r="D410" s="18" t="n"/>
      <c r="E410" s="18" t="n"/>
      <c r="F410" s="10">
        <f>IF(C410="","",IF(C410&gt;=9,"Promotor",IF(C410&gt;=7,"Pasivo","Detractor")))</f>
        <v/>
      </c>
      <c r="G410" s="20">
        <f>IF(F410="","",IF(F410="Promotor","Pedir reseña o recomendación",IF(F410="Pasivo","Preguntar qué le falta para un 10","Llamada de una persona en menos de 48 horas")))</f>
        <v/>
      </c>
      <c r="H410" s="18" t="n"/>
      <c r="I410" s="19" t="n"/>
    </row>
    <row r="411">
      <c r="A411" s="17" t="n"/>
      <c r="B411" s="18" t="n"/>
      <c r="C411" s="19" t="n"/>
      <c r="D411" s="18" t="n"/>
      <c r="E411" s="18" t="n"/>
      <c r="F411" s="10">
        <f>IF(C411="","",IF(C411&gt;=9,"Promotor",IF(C411&gt;=7,"Pasivo","Detractor")))</f>
        <v/>
      </c>
      <c r="G411" s="20">
        <f>IF(F411="","",IF(F411="Promotor","Pedir reseña o recomendación",IF(F411="Pasivo","Preguntar qué le falta para un 10","Llamada de una persona en menos de 48 horas")))</f>
        <v/>
      </c>
      <c r="H411" s="18" t="n"/>
      <c r="I411" s="19" t="n"/>
    </row>
    <row r="412">
      <c r="A412" s="17" t="n"/>
      <c r="B412" s="18" t="n"/>
      <c r="C412" s="19" t="n"/>
      <c r="D412" s="18" t="n"/>
      <c r="E412" s="18" t="n"/>
      <c r="F412" s="10">
        <f>IF(C412="","",IF(C412&gt;=9,"Promotor",IF(C412&gt;=7,"Pasivo","Detractor")))</f>
        <v/>
      </c>
      <c r="G412" s="20">
        <f>IF(F412="","",IF(F412="Promotor","Pedir reseña o recomendación",IF(F412="Pasivo","Preguntar qué le falta para un 10","Llamada de una persona en menos de 48 horas")))</f>
        <v/>
      </c>
      <c r="H412" s="18" t="n"/>
      <c r="I412" s="19" t="n"/>
    </row>
    <row r="413">
      <c r="A413" s="17" t="n"/>
      <c r="B413" s="18" t="n"/>
      <c r="C413" s="19" t="n"/>
      <c r="D413" s="18" t="n"/>
      <c r="E413" s="18" t="n"/>
      <c r="F413" s="10">
        <f>IF(C413="","",IF(C413&gt;=9,"Promotor",IF(C413&gt;=7,"Pasivo","Detractor")))</f>
        <v/>
      </c>
      <c r="G413" s="20">
        <f>IF(F413="","",IF(F413="Promotor","Pedir reseña o recomendación",IF(F413="Pasivo","Preguntar qué le falta para un 10","Llamada de una persona en menos de 48 horas")))</f>
        <v/>
      </c>
      <c r="H413" s="18" t="n"/>
      <c r="I413" s="19" t="n"/>
    </row>
    <row r="414">
      <c r="A414" s="17" t="n"/>
      <c r="B414" s="18" t="n"/>
      <c r="C414" s="19" t="n"/>
      <c r="D414" s="18" t="n"/>
      <c r="E414" s="18" t="n"/>
      <c r="F414" s="10">
        <f>IF(C414="","",IF(C414&gt;=9,"Promotor",IF(C414&gt;=7,"Pasivo","Detractor")))</f>
        <v/>
      </c>
      <c r="G414" s="20">
        <f>IF(F414="","",IF(F414="Promotor","Pedir reseña o recomendación",IF(F414="Pasivo","Preguntar qué le falta para un 10","Llamada de una persona en menos de 48 horas")))</f>
        <v/>
      </c>
      <c r="H414" s="18" t="n"/>
      <c r="I414" s="19" t="n"/>
    </row>
    <row r="415">
      <c r="A415" s="17" t="n"/>
      <c r="B415" s="18" t="n"/>
      <c r="C415" s="19" t="n"/>
      <c r="D415" s="18" t="n"/>
      <c r="E415" s="18" t="n"/>
      <c r="F415" s="10">
        <f>IF(C415="","",IF(C415&gt;=9,"Promotor",IF(C415&gt;=7,"Pasivo","Detractor")))</f>
        <v/>
      </c>
      <c r="G415" s="20">
        <f>IF(F415="","",IF(F415="Promotor","Pedir reseña o recomendación",IF(F415="Pasivo","Preguntar qué le falta para un 10","Llamada de una persona en menos de 48 horas")))</f>
        <v/>
      </c>
      <c r="H415" s="18" t="n"/>
      <c r="I415" s="19" t="n"/>
    </row>
    <row r="416">
      <c r="A416" s="17" t="n"/>
      <c r="B416" s="18" t="n"/>
      <c r="C416" s="19" t="n"/>
      <c r="D416" s="18" t="n"/>
      <c r="E416" s="18" t="n"/>
      <c r="F416" s="10">
        <f>IF(C416="","",IF(C416&gt;=9,"Promotor",IF(C416&gt;=7,"Pasivo","Detractor")))</f>
        <v/>
      </c>
      <c r="G416" s="20">
        <f>IF(F416="","",IF(F416="Promotor","Pedir reseña o recomendación",IF(F416="Pasivo","Preguntar qué le falta para un 10","Llamada de una persona en menos de 48 horas")))</f>
        <v/>
      </c>
      <c r="H416" s="18" t="n"/>
      <c r="I416" s="19" t="n"/>
    </row>
    <row r="417">
      <c r="A417" s="17" t="n"/>
      <c r="B417" s="18" t="n"/>
      <c r="C417" s="19" t="n"/>
      <c r="D417" s="18" t="n"/>
      <c r="E417" s="18" t="n"/>
      <c r="F417" s="10">
        <f>IF(C417="","",IF(C417&gt;=9,"Promotor",IF(C417&gt;=7,"Pasivo","Detractor")))</f>
        <v/>
      </c>
      <c r="G417" s="20">
        <f>IF(F417="","",IF(F417="Promotor","Pedir reseña o recomendación",IF(F417="Pasivo","Preguntar qué le falta para un 10","Llamada de una persona en menos de 48 horas")))</f>
        <v/>
      </c>
      <c r="H417" s="18" t="n"/>
      <c r="I417" s="19" t="n"/>
    </row>
    <row r="418">
      <c r="A418" s="17" t="n"/>
      <c r="B418" s="18" t="n"/>
      <c r="C418" s="19" t="n"/>
      <c r="D418" s="18" t="n"/>
      <c r="E418" s="18" t="n"/>
      <c r="F418" s="10">
        <f>IF(C418="","",IF(C418&gt;=9,"Promotor",IF(C418&gt;=7,"Pasivo","Detractor")))</f>
        <v/>
      </c>
      <c r="G418" s="20">
        <f>IF(F418="","",IF(F418="Promotor","Pedir reseña o recomendación",IF(F418="Pasivo","Preguntar qué le falta para un 10","Llamada de una persona en menos de 48 horas")))</f>
        <v/>
      </c>
      <c r="H418" s="18" t="n"/>
      <c r="I418" s="19" t="n"/>
    </row>
    <row r="419">
      <c r="A419" s="17" t="n"/>
      <c r="B419" s="18" t="n"/>
      <c r="C419" s="19" t="n"/>
      <c r="D419" s="18" t="n"/>
      <c r="E419" s="18" t="n"/>
      <c r="F419" s="10">
        <f>IF(C419="","",IF(C419&gt;=9,"Promotor",IF(C419&gt;=7,"Pasivo","Detractor")))</f>
        <v/>
      </c>
      <c r="G419" s="20">
        <f>IF(F419="","",IF(F419="Promotor","Pedir reseña o recomendación",IF(F419="Pasivo","Preguntar qué le falta para un 10","Llamada de una persona en menos de 48 horas")))</f>
        <v/>
      </c>
      <c r="H419" s="18" t="n"/>
      <c r="I419" s="19" t="n"/>
    </row>
    <row r="420">
      <c r="A420" s="17" t="n"/>
      <c r="B420" s="18" t="n"/>
      <c r="C420" s="19" t="n"/>
      <c r="D420" s="18" t="n"/>
      <c r="E420" s="18" t="n"/>
      <c r="F420" s="10">
        <f>IF(C420="","",IF(C420&gt;=9,"Promotor",IF(C420&gt;=7,"Pasivo","Detractor")))</f>
        <v/>
      </c>
      <c r="G420" s="20">
        <f>IF(F420="","",IF(F420="Promotor","Pedir reseña o recomendación",IF(F420="Pasivo","Preguntar qué le falta para un 10","Llamada de una persona en menos de 48 horas")))</f>
        <v/>
      </c>
      <c r="H420" s="18" t="n"/>
      <c r="I420" s="19" t="n"/>
    </row>
    <row r="421">
      <c r="A421" s="17" t="n"/>
      <c r="B421" s="18" t="n"/>
      <c r="C421" s="19" t="n"/>
      <c r="D421" s="18" t="n"/>
      <c r="E421" s="18" t="n"/>
      <c r="F421" s="10">
        <f>IF(C421="","",IF(C421&gt;=9,"Promotor",IF(C421&gt;=7,"Pasivo","Detractor")))</f>
        <v/>
      </c>
      <c r="G421" s="20">
        <f>IF(F421="","",IF(F421="Promotor","Pedir reseña o recomendación",IF(F421="Pasivo","Preguntar qué le falta para un 10","Llamada de una persona en menos de 48 horas")))</f>
        <v/>
      </c>
      <c r="H421" s="18" t="n"/>
      <c r="I421" s="19" t="n"/>
    </row>
    <row r="422">
      <c r="A422" s="17" t="n"/>
      <c r="B422" s="18" t="n"/>
      <c r="C422" s="19" t="n"/>
      <c r="D422" s="18" t="n"/>
      <c r="E422" s="18" t="n"/>
      <c r="F422" s="10">
        <f>IF(C422="","",IF(C422&gt;=9,"Promotor",IF(C422&gt;=7,"Pasivo","Detractor")))</f>
        <v/>
      </c>
      <c r="G422" s="20">
        <f>IF(F422="","",IF(F422="Promotor","Pedir reseña o recomendación",IF(F422="Pasivo","Preguntar qué le falta para un 10","Llamada de una persona en menos de 48 horas")))</f>
        <v/>
      </c>
      <c r="H422" s="18" t="n"/>
      <c r="I422" s="19" t="n"/>
    </row>
    <row r="423">
      <c r="A423" s="17" t="n"/>
      <c r="B423" s="18" t="n"/>
      <c r="C423" s="19" t="n"/>
      <c r="D423" s="18" t="n"/>
      <c r="E423" s="18" t="n"/>
      <c r="F423" s="10">
        <f>IF(C423="","",IF(C423&gt;=9,"Promotor",IF(C423&gt;=7,"Pasivo","Detractor")))</f>
        <v/>
      </c>
      <c r="G423" s="20">
        <f>IF(F423="","",IF(F423="Promotor","Pedir reseña o recomendación",IF(F423="Pasivo","Preguntar qué le falta para un 10","Llamada de una persona en menos de 48 horas")))</f>
        <v/>
      </c>
      <c r="H423" s="18" t="n"/>
      <c r="I423" s="19" t="n"/>
    </row>
    <row r="424">
      <c r="A424" s="17" t="n"/>
      <c r="B424" s="18" t="n"/>
      <c r="C424" s="19" t="n"/>
      <c r="D424" s="18" t="n"/>
      <c r="E424" s="18" t="n"/>
      <c r="F424" s="10">
        <f>IF(C424="","",IF(C424&gt;=9,"Promotor",IF(C424&gt;=7,"Pasivo","Detractor")))</f>
        <v/>
      </c>
      <c r="G424" s="20">
        <f>IF(F424="","",IF(F424="Promotor","Pedir reseña o recomendación",IF(F424="Pasivo","Preguntar qué le falta para un 10","Llamada de una persona en menos de 48 horas")))</f>
        <v/>
      </c>
      <c r="H424" s="18" t="n"/>
      <c r="I424" s="19" t="n"/>
    </row>
    <row r="425">
      <c r="A425" s="17" t="n"/>
      <c r="B425" s="18" t="n"/>
      <c r="C425" s="19" t="n"/>
      <c r="D425" s="18" t="n"/>
      <c r="E425" s="18" t="n"/>
      <c r="F425" s="10">
        <f>IF(C425="","",IF(C425&gt;=9,"Promotor",IF(C425&gt;=7,"Pasivo","Detractor")))</f>
        <v/>
      </c>
      <c r="G425" s="20">
        <f>IF(F425="","",IF(F425="Promotor","Pedir reseña o recomendación",IF(F425="Pasivo","Preguntar qué le falta para un 10","Llamada de una persona en menos de 48 horas")))</f>
        <v/>
      </c>
      <c r="H425" s="18" t="n"/>
      <c r="I425" s="19" t="n"/>
    </row>
    <row r="426">
      <c r="A426" s="17" t="n"/>
      <c r="B426" s="18" t="n"/>
      <c r="C426" s="19" t="n"/>
      <c r="D426" s="18" t="n"/>
      <c r="E426" s="18" t="n"/>
      <c r="F426" s="10">
        <f>IF(C426="","",IF(C426&gt;=9,"Promotor",IF(C426&gt;=7,"Pasivo","Detractor")))</f>
        <v/>
      </c>
      <c r="G426" s="20">
        <f>IF(F426="","",IF(F426="Promotor","Pedir reseña o recomendación",IF(F426="Pasivo","Preguntar qué le falta para un 10","Llamada de una persona en menos de 48 horas")))</f>
        <v/>
      </c>
      <c r="H426" s="18" t="n"/>
      <c r="I426" s="19" t="n"/>
    </row>
    <row r="427">
      <c r="A427" s="17" t="n"/>
      <c r="B427" s="18" t="n"/>
      <c r="C427" s="19" t="n"/>
      <c r="D427" s="18" t="n"/>
      <c r="E427" s="18" t="n"/>
      <c r="F427" s="10">
        <f>IF(C427="","",IF(C427&gt;=9,"Promotor",IF(C427&gt;=7,"Pasivo","Detractor")))</f>
        <v/>
      </c>
      <c r="G427" s="20">
        <f>IF(F427="","",IF(F427="Promotor","Pedir reseña o recomendación",IF(F427="Pasivo","Preguntar qué le falta para un 10","Llamada de una persona en menos de 48 horas")))</f>
        <v/>
      </c>
      <c r="H427" s="18" t="n"/>
      <c r="I427" s="19" t="n"/>
    </row>
    <row r="428">
      <c r="A428" s="17" t="n"/>
      <c r="B428" s="18" t="n"/>
      <c r="C428" s="19" t="n"/>
      <c r="D428" s="18" t="n"/>
      <c r="E428" s="18" t="n"/>
      <c r="F428" s="10">
        <f>IF(C428="","",IF(C428&gt;=9,"Promotor",IF(C428&gt;=7,"Pasivo","Detractor")))</f>
        <v/>
      </c>
      <c r="G428" s="20">
        <f>IF(F428="","",IF(F428="Promotor","Pedir reseña o recomendación",IF(F428="Pasivo","Preguntar qué le falta para un 10","Llamada de una persona en menos de 48 horas")))</f>
        <v/>
      </c>
      <c r="H428" s="18" t="n"/>
      <c r="I428" s="19" t="n"/>
    </row>
    <row r="429">
      <c r="A429" s="17" t="n"/>
      <c r="B429" s="18" t="n"/>
      <c r="C429" s="19" t="n"/>
      <c r="D429" s="18" t="n"/>
      <c r="E429" s="18" t="n"/>
      <c r="F429" s="10">
        <f>IF(C429="","",IF(C429&gt;=9,"Promotor",IF(C429&gt;=7,"Pasivo","Detractor")))</f>
        <v/>
      </c>
      <c r="G429" s="20">
        <f>IF(F429="","",IF(F429="Promotor","Pedir reseña o recomendación",IF(F429="Pasivo","Preguntar qué le falta para un 10","Llamada de una persona en menos de 48 horas")))</f>
        <v/>
      </c>
      <c r="H429" s="18" t="n"/>
      <c r="I429" s="19" t="n"/>
    </row>
    <row r="430">
      <c r="A430" s="17" t="n"/>
      <c r="B430" s="18" t="n"/>
      <c r="C430" s="19" t="n"/>
      <c r="D430" s="18" t="n"/>
      <c r="E430" s="18" t="n"/>
      <c r="F430" s="10">
        <f>IF(C430="","",IF(C430&gt;=9,"Promotor",IF(C430&gt;=7,"Pasivo","Detractor")))</f>
        <v/>
      </c>
      <c r="G430" s="20">
        <f>IF(F430="","",IF(F430="Promotor","Pedir reseña o recomendación",IF(F430="Pasivo","Preguntar qué le falta para un 10","Llamada de una persona en menos de 48 horas")))</f>
        <v/>
      </c>
      <c r="H430" s="18" t="n"/>
      <c r="I430" s="19" t="n"/>
    </row>
    <row r="431">
      <c r="A431" s="17" t="n"/>
      <c r="B431" s="18" t="n"/>
      <c r="C431" s="19" t="n"/>
      <c r="D431" s="18" t="n"/>
      <c r="E431" s="18" t="n"/>
      <c r="F431" s="10">
        <f>IF(C431="","",IF(C431&gt;=9,"Promotor",IF(C431&gt;=7,"Pasivo","Detractor")))</f>
        <v/>
      </c>
      <c r="G431" s="20">
        <f>IF(F431="","",IF(F431="Promotor","Pedir reseña o recomendación",IF(F431="Pasivo","Preguntar qué le falta para un 10","Llamada de una persona en menos de 48 horas")))</f>
        <v/>
      </c>
      <c r="H431" s="18" t="n"/>
      <c r="I431" s="19" t="n"/>
    </row>
    <row r="432">
      <c r="A432" s="17" t="n"/>
      <c r="B432" s="18" t="n"/>
      <c r="C432" s="19" t="n"/>
      <c r="D432" s="18" t="n"/>
      <c r="E432" s="18" t="n"/>
      <c r="F432" s="10">
        <f>IF(C432="","",IF(C432&gt;=9,"Promotor",IF(C432&gt;=7,"Pasivo","Detractor")))</f>
        <v/>
      </c>
      <c r="G432" s="20">
        <f>IF(F432="","",IF(F432="Promotor","Pedir reseña o recomendación",IF(F432="Pasivo","Preguntar qué le falta para un 10","Llamada de una persona en menos de 48 horas")))</f>
        <v/>
      </c>
      <c r="H432" s="18" t="n"/>
      <c r="I432" s="19" t="n"/>
    </row>
    <row r="433">
      <c r="A433" s="17" t="n"/>
      <c r="B433" s="18" t="n"/>
      <c r="C433" s="19" t="n"/>
      <c r="D433" s="18" t="n"/>
      <c r="E433" s="18" t="n"/>
      <c r="F433" s="10">
        <f>IF(C433="","",IF(C433&gt;=9,"Promotor",IF(C433&gt;=7,"Pasivo","Detractor")))</f>
        <v/>
      </c>
      <c r="G433" s="20">
        <f>IF(F433="","",IF(F433="Promotor","Pedir reseña o recomendación",IF(F433="Pasivo","Preguntar qué le falta para un 10","Llamada de una persona en menos de 48 horas")))</f>
        <v/>
      </c>
      <c r="H433" s="18" t="n"/>
      <c r="I433" s="19" t="n"/>
    </row>
    <row r="434">
      <c r="A434" s="17" t="n"/>
      <c r="B434" s="18" t="n"/>
      <c r="C434" s="19" t="n"/>
      <c r="D434" s="18" t="n"/>
      <c r="E434" s="18" t="n"/>
      <c r="F434" s="10">
        <f>IF(C434="","",IF(C434&gt;=9,"Promotor",IF(C434&gt;=7,"Pasivo","Detractor")))</f>
        <v/>
      </c>
      <c r="G434" s="20">
        <f>IF(F434="","",IF(F434="Promotor","Pedir reseña o recomendación",IF(F434="Pasivo","Preguntar qué le falta para un 10","Llamada de una persona en menos de 48 horas")))</f>
        <v/>
      </c>
      <c r="H434" s="18" t="n"/>
      <c r="I434" s="19" t="n"/>
    </row>
    <row r="435">
      <c r="A435" s="17" t="n"/>
      <c r="B435" s="18" t="n"/>
      <c r="C435" s="19" t="n"/>
      <c r="D435" s="18" t="n"/>
      <c r="E435" s="18" t="n"/>
      <c r="F435" s="10">
        <f>IF(C435="","",IF(C435&gt;=9,"Promotor",IF(C435&gt;=7,"Pasivo","Detractor")))</f>
        <v/>
      </c>
      <c r="G435" s="20">
        <f>IF(F435="","",IF(F435="Promotor","Pedir reseña o recomendación",IF(F435="Pasivo","Preguntar qué le falta para un 10","Llamada de una persona en menos de 48 horas")))</f>
        <v/>
      </c>
      <c r="H435" s="18" t="n"/>
      <c r="I435" s="19" t="n"/>
    </row>
    <row r="436">
      <c r="A436" s="17" t="n"/>
      <c r="B436" s="18" t="n"/>
      <c r="C436" s="19" t="n"/>
      <c r="D436" s="18" t="n"/>
      <c r="E436" s="18" t="n"/>
      <c r="F436" s="10">
        <f>IF(C436="","",IF(C436&gt;=9,"Promotor",IF(C436&gt;=7,"Pasivo","Detractor")))</f>
        <v/>
      </c>
      <c r="G436" s="20">
        <f>IF(F436="","",IF(F436="Promotor","Pedir reseña o recomendación",IF(F436="Pasivo","Preguntar qué le falta para un 10","Llamada de una persona en menos de 48 horas")))</f>
        <v/>
      </c>
      <c r="H436" s="18" t="n"/>
      <c r="I436" s="19" t="n"/>
    </row>
    <row r="437">
      <c r="A437" s="17" t="n"/>
      <c r="B437" s="18" t="n"/>
      <c r="C437" s="19" t="n"/>
      <c r="D437" s="18" t="n"/>
      <c r="E437" s="18" t="n"/>
      <c r="F437" s="10">
        <f>IF(C437="","",IF(C437&gt;=9,"Promotor",IF(C437&gt;=7,"Pasivo","Detractor")))</f>
        <v/>
      </c>
      <c r="G437" s="20">
        <f>IF(F437="","",IF(F437="Promotor","Pedir reseña o recomendación",IF(F437="Pasivo","Preguntar qué le falta para un 10","Llamada de una persona en menos de 48 horas")))</f>
        <v/>
      </c>
      <c r="H437" s="18" t="n"/>
      <c r="I437" s="19" t="n"/>
    </row>
    <row r="438">
      <c r="A438" s="17" t="n"/>
      <c r="B438" s="18" t="n"/>
      <c r="C438" s="19" t="n"/>
      <c r="D438" s="18" t="n"/>
      <c r="E438" s="18" t="n"/>
      <c r="F438" s="10">
        <f>IF(C438="","",IF(C438&gt;=9,"Promotor",IF(C438&gt;=7,"Pasivo","Detractor")))</f>
        <v/>
      </c>
      <c r="G438" s="20">
        <f>IF(F438="","",IF(F438="Promotor","Pedir reseña o recomendación",IF(F438="Pasivo","Preguntar qué le falta para un 10","Llamada de una persona en menos de 48 horas")))</f>
        <v/>
      </c>
      <c r="H438" s="18" t="n"/>
      <c r="I438" s="19" t="n"/>
    </row>
    <row r="439">
      <c r="A439" s="17" t="n"/>
      <c r="B439" s="18" t="n"/>
      <c r="C439" s="19" t="n"/>
      <c r="D439" s="18" t="n"/>
      <c r="E439" s="18" t="n"/>
      <c r="F439" s="10">
        <f>IF(C439="","",IF(C439&gt;=9,"Promotor",IF(C439&gt;=7,"Pasivo","Detractor")))</f>
        <v/>
      </c>
      <c r="G439" s="20">
        <f>IF(F439="","",IF(F439="Promotor","Pedir reseña o recomendación",IF(F439="Pasivo","Preguntar qué le falta para un 10","Llamada de una persona en menos de 48 horas")))</f>
        <v/>
      </c>
      <c r="H439" s="18" t="n"/>
      <c r="I439" s="19" t="n"/>
    </row>
    <row r="440">
      <c r="A440" s="17" t="n"/>
      <c r="B440" s="18" t="n"/>
      <c r="C440" s="19" t="n"/>
      <c r="D440" s="18" t="n"/>
      <c r="E440" s="18" t="n"/>
      <c r="F440" s="10">
        <f>IF(C440="","",IF(C440&gt;=9,"Promotor",IF(C440&gt;=7,"Pasivo","Detractor")))</f>
        <v/>
      </c>
      <c r="G440" s="20">
        <f>IF(F440="","",IF(F440="Promotor","Pedir reseña o recomendación",IF(F440="Pasivo","Preguntar qué le falta para un 10","Llamada de una persona en menos de 48 horas")))</f>
        <v/>
      </c>
      <c r="H440" s="18" t="n"/>
      <c r="I440" s="19" t="n"/>
    </row>
    <row r="441">
      <c r="A441" s="17" t="n"/>
      <c r="B441" s="18" t="n"/>
      <c r="C441" s="19" t="n"/>
      <c r="D441" s="18" t="n"/>
      <c r="E441" s="18" t="n"/>
      <c r="F441" s="10">
        <f>IF(C441="","",IF(C441&gt;=9,"Promotor",IF(C441&gt;=7,"Pasivo","Detractor")))</f>
        <v/>
      </c>
      <c r="G441" s="20">
        <f>IF(F441="","",IF(F441="Promotor","Pedir reseña o recomendación",IF(F441="Pasivo","Preguntar qué le falta para un 10","Llamada de una persona en menos de 48 horas")))</f>
        <v/>
      </c>
      <c r="H441" s="18" t="n"/>
      <c r="I441" s="19" t="n"/>
    </row>
    <row r="442">
      <c r="A442" s="17" t="n"/>
      <c r="B442" s="18" t="n"/>
      <c r="C442" s="19" t="n"/>
      <c r="D442" s="18" t="n"/>
      <c r="E442" s="18" t="n"/>
      <c r="F442" s="10">
        <f>IF(C442="","",IF(C442&gt;=9,"Promotor",IF(C442&gt;=7,"Pasivo","Detractor")))</f>
        <v/>
      </c>
      <c r="G442" s="20">
        <f>IF(F442="","",IF(F442="Promotor","Pedir reseña o recomendación",IF(F442="Pasivo","Preguntar qué le falta para un 10","Llamada de una persona en menos de 48 horas")))</f>
        <v/>
      </c>
      <c r="H442" s="18" t="n"/>
      <c r="I442" s="19" t="n"/>
    </row>
    <row r="443">
      <c r="A443" s="17" t="n"/>
      <c r="B443" s="18" t="n"/>
      <c r="C443" s="19" t="n"/>
      <c r="D443" s="18" t="n"/>
      <c r="E443" s="18" t="n"/>
      <c r="F443" s="10">
        <f>IF(C443="","",IF(C443&gt;=9,"Promotor",IF(C443&gt;=7,"Pasivo","Detractor")))</f>
        <v/>
      </c>
      <c r="G443" s="20">
        <f>IF(F443="","",IF(F443="Promotor","Pedir reseña o recomendación",IF(F443="Pasivo","Preguntar qué le falta para un 10","Llamada de una persona en menos de 48 horas")))</f>
        <v/>
      </c>
      <c r="H443" s="18" t="n"/>
      <c r="I443" s="19" t="n"/>
    </row>
    <row r="444">
      <c r="A444" s="17" t="n"/>
      <c r="B444" s="18" t="n"/>
      <c r="C444" s="19" t="n"/>
      <c r="D444" s="18" t="n"/>
      <c r="E444" s="18" t="n"/>
      <c r="F444" s="10">
        <f>IF(C444="","",IF(C444&gt;=9,"Promotor",IF(C444&gt;=7,"Pasivo","Detractor")))</f>
        <v/>
      </c>
      <c r="G444" s="20">
        <f>IF(F444="","",IF(F444="Promotor","Pedir reseña o recomendación",IF(F444="Pasivo","Preguntar qué le falta para un 10","Llamada de una persona en menos de 48 horas")))</f>
        <v/>
      </c>
      <c r="H444" s="18" t="n"/>
      <c r="I444" s="19" t="n"/>
    </row>
    <row r="445">
      <c r="A445" s="17" t="n"/>
      <c r="B445" s="18" t="n"/>
      <c r="C445" s="19" t="n"/>
      <c r="D445" s="18" t="n"/>
      <c r="E445" s="18" t="n"/>
      <c r="F445" s="10">
        <f>IF(C445="","",IF(C445&gt;=9,"Promotor",IF(C445&gt;=7,"Pasivo","Detractor")))</f>
        <v/>
      </c>
      <c r="G445" s="20">
        <f>IF(F445="","",IF(F445="Promotor","Pedir reseña o recomendación",IF(F445="Pasivo","Preguntar qué le falta para un 10","Llamada de una persona en menos de 48 horas")))</f>
        <v/>
      </c>
      <c r="H445" s="18" t="n"/>
      <c r="I445" s="19" t="n"/>
    </row>
    <row r="446">
      <c r="A446" s="17" t="n"/>
      <c r="B446" s="18" t="n"/>
      <c r="C446" s="19" t="n"/>
      <c r="D446" s="18" t="n"/>
      <c r="E446" s="18" t="n"/>
      <c r="F446" s="10">
        <f>IF(C446="","",IF(C446&gt;=9,"Promotor",IF(C446&gt;=7,"Pasivo","Detractor")))</f>
        <v/>
      </c>
      <c r="G446" s="20">
        <f>IF(F446="","",IF(F446="Promotor","Pedir reseña o recomendación",IF(F446="Pasivo","Preguntar qué le falta para un 10","Llamada de una persona en menos de 48 horas")))</f>
        <v/>
      </c>
      <c r="H446" s="18" t="n"/>
      <c r="I446" s="19" t="n"/>
    </row>
    <row r="447">
      <c r="A447" s="17" t="n"/>
      <c r="B447" s="18" t="n"/>
      <c r="C447" s="19" t="n"/>
      <c r="D447" s="18" t="n"/>
      <c r="E447" s="18" t="n"/>
      <c r="F447" s="10">
        <f>IF(C447="","",IF(C447&gt;=9,"Promotor",IF(C447&gt;=7,"Pasivo","Detractor")))</f>
        <v/>
      </c>
      <c r="G447" s="20">
        <f>IF(F447="","",IF(F447="Promotor","Pedir reseña o recomendación",IF(F447="Pasivo","Preguntar qué le falta para un 10","Llamada de una persona en menos de 48 horas")))</f>
        <v/>
      </c>
      <c r="H447" s="18" t="n"/>
      <c r="I447" s="19" t="n"/>
    </row>
    <row r="448">
      <c r="A448" s="17" t="n"/>
      <c r="B448" s="18" t="n"/>
      <c r="C448" s="19" t="n"/>
      <c r="D448" s="18" t="n"/>
      <c r="E448" s="18" t="n"/>
      <c r="F448" s="10">
        <f>IF(C448="","",IF(C448&gt;=9,"Promotor",IF(C448&gt;=7,"Pasivo","Detractor")))</f>
        <v/>
      </c>
      <c r="G448" s="20">
        <f>IF(F448="","",IF(F448="Promotor","Pedir reseña o recomendación",IF(F448="Pasivo","Preguntar qué le falta para un 10","Llamada de una persona en menos de 48 horas")))</f>
        <v/>
      </c>
      <c r="H448" s="18" t="n"/>
      <c r="I448" s="19" t="n"/>
    </row>
    <row r="449">
      <c r="A449" s="17" t="n"/>
      <c r="B449" s="18" t="n"/>
      <c r="C449" s="19" t="n"/>
      <c r="D449" s="18" t="n"/>
      <c r="E449" s="18" t="n"/>
      <c r="F449" s="10">
        <f>IF(C449="","",IF(C449&gt;=9,"Promotor",IF(C449&gt;=7,"Pasivo","Detractor")))</f>
        <v/>
      </c>
      <c r="G449" s="20">
        <f>IF(F449="","",IF(F449="Promotor","Pedir reseña o recomendación",IF(F449="Pasivo","Preguntar qué le falta para un 10","Llamada de una persona en menos de 48 horas")))</f>
        <v/>
      </c>
      <c r="H449" s="18" t="n"/>
      <c r="I449" s="19" t="n"/>
    </row>
    <row r="450">
      <c r="A450" s="17" t="n"/>
      <c r="B450" s="18" t="n"/>
      <c r="C450" s="19" t="n"/>
      <c r="D450" s="18" t="n"/>
      <c r="E450" s="18" t="n"/>
      <c r="F450" s="10">
        <f>IF(C450="","",IF(C450&gt;=9,"Promotor",IF(C450&gt;=7,"Pasivo","Detractor")))</f>
        <v/>
      </c>
      <c r="G450" s="20">
        <f>IF(F450="","",IF(F450="Promotor","Pedir reseña o recomendación",IF(F450="Pasivo","Preguntar qué le falta para un 10","Llamada de una persona en menos de 48 horas")))</f>
        <v/>
      </c>
      <c r="H450" s="18" t="n"/>
      <c r="I450" s="19" t="n"/>
    </row>
    <row r="451">
      <c r="A451" s="17" t="n"/>
      <c r="B451" s="18" t="n"/>
      <c r="C451" s="19" t="n"/>
      <c r="D451" s="18" t="n"/>
      <c r="E451" s="18" t="n"/>
      <c r="F451" s="10">
        <f>IF(C451="","",IF(C451&gt;=9,"Promotor",IF(C451&gt;=7,"Pasivo","Detractor")))</f>
        <v/>
      </c>
      <c r="G451" s="20">
        <f>IF(F451="","",IF(F451="Promotor","Pedir reseña o recomendación",IF(F451="Pasivo","Preguntar qué le falta para un 10","Llamada de una persona en menos de 48 horas")))</f>
        <v/>
      </c>
      <c r="H451" s="18" t="n"/>
      <c r="I451" s="19" t="n"/>
    </row>
    <row r="452">
      <c r="A452" s="17" t="n"/>
      <c r="B452" s="18" t="n"/>
      <c r="C452" s="19" t="n"/>
      <c r="D452" s="18" t="n"/>
      <c r="E452" s="18" t="n"/>
      <c r="F452" s="10">
        <f>IF(C452="","",IF(C452&gt;=9,"Promotor",IF(C452&gt;=7,"Pasivo","Detractor")))</f>
        <v/>
      </c>
      <c r="G452" s="20">
        <f>IF(F452="","",IF(F452="Promotor","Pedir reseña o recomendación",IF(F452="Pasivo","Preguntar qué le falta para un 10","Llamada de una persona en menos de 48 horas")))</f>
        <v/>
      </c>
      <c r="H452" s="18" t="n"/>
      <c r="I452" s="19" t="n"/>
    </row>
    <row r="453">
      <c r="A453" s="17" t="n"/>
      <c r="B453" s="18" t="n"/>
      <c r="C453" s="19" t="n"/>
      <c r="D453" s="18" t="n"/>
      <c r="E453" s="18" t="n"/>
      <c r="F453" s="10">
        <f>IF(C453="","",IF(C453&gt;=9,"Promotor",IF(C453&gt;=7,"Pasivo","Detractor")))</f>
        <v/>
      </c>
      <c r="G453" s="20">
        <f>IF(F453="","",IF(F453="Promotor","Pedir reseña o recomendación",IF(F453="Pasivo","Preguntar qué le falta para un 10","Llamada de una persona en menos de 48 horas")))</f>
        <v/>
      </c>
      <c r="H453" s="18" t="n"/>
      <c r="I453" s="19" t="n"/>
    </row>
    <row r="454">
      <c r="A454" s="17" t="n"/>
      <c r="B454" s="18" t="n"/>
      <c r="C454" s="19" t="n"/>
      <c r="D454" s="18" t="n"/>
      <c r="E454" s="18" t="n"/>
      <c r="F454" s="10">
        <f>IF(C454="","",IF(C454&gt;=9,"Promotor",IF(C454&gt;=7,"Pasivo","Detractor")))</f>
        <v/>
      </c>
      <c r="G454" s="20">
        <f>IF(F454="","",IF(F454="Promotor","Pedir reseña o recomendación",IF(F454="Pasivo","Preguntar qué le falta para un 10","Llamada de una persona en menos de 48 horas")))</f>
        <v/>
      </c>
      <c r="H454" s="18" t="n"/>
      <c r="I454" s="19" t="n"/>
    </row>
    <row r="455">
      <c r="A455" s="17" t="n"/>
      <c r="B455" s="18" t="n"/>
      <c r="C455" s="19" t="n"/>
      <c r="D455" s="18" t="n"/>
      <c r="E455" s="18" t="n"/>
      <c r="F455" s="10">
        <f>IF(C455="","",IF(C455&gt;=9,"Promotor",IF(C455&gt;=7,"Pasivo","Detractor")))</f>
        <v/>
      </c>
      <c r="G455" s="20">
        <f>IF(F455="","",IF(F455="Promotor","Pedir reseña o recomendación",IF(F455="Pasivo","Preguntar qué le falta para un 10","Llamada de una persona en menos de 48 horas")))</f>
        <v/>
      </c>
      <c r="H455" s="18" t="n"/>
      <c r="I455" s="19" t="n"/>
    </row>
    <row r="456">
      <c r="A456" s="17" t="n"/>
      <c r="B456" s="18" t="n"/>
      <c r="C456" s="19" t="n"/>
      <c r="D456" s="18" t="n"/>
      <c r="E456" s="18" t="n"/>
      <c r="F456" s="10">
        <f>IF(C456="","",IF(C456&gt;=9,"Promotor",IF(C456&gt;=7,"Pasivo","Detractor")))</f>
        <v/>
      </c>
      <c r="G456" s="20">
        <f>IF(F456="","",IF(F456="Promotor","Pedir reseña o recomendación",IF(F456="Pasivo","Preguntar qué le falta para un 10","Llamada de una persona en menos de 48 horas")))</f>
        <v/>
      </c>
      <c r="H456" s="18" t="n"/>
      <c r="I456" s="19" t="n"/>
    </row>
    <row r="457">
      <c r="A457" s="17" t="n"/>
      <c r="B457" s="18" t="n"/>
      <c r="C457" s="19" t="n"/>
      <c r="D457" s="18" t="n"/>
      <c r="E457" s="18" t="n"/>
      <c r="F457" s="10">
        <f>IF(C457="","",IF(C457&gt;=9,"Promotor",IF(C457&gt;=7,"Pasivo","Detractor")))</f>
        <v/>
      </c>
      <c r="G457" s="20">
        <f>IF(F457="","",IF(F457="Promotor","Pedir reseña o recomendación",IF(F457="Pasivo","Preguntar qué le falta para un 10","Llamada de una persona en menos de 48 horas")))</f>
        <v/>
      </c>
      <c r="H457" s="18" t="n"/>
      <c r="I457" s="19" t="n"/>
    </row>
    <row r="458">
      <c r="A458" s="17" t="n"/>
      <c r="B458" s="18" t="n"/>
      <c r="C458" s="19" t="n"/>
      <c r="D458" s="18" t="n"/>
      <c r="E458" s="18" t="n"/>
      <c r="F458" s="10">
        <f>IF(C458="","",IF(C458&gt;=9,"Promotor",IF(C458&gt;=7,"Pasivo","Detractor")))</f>
        <v/>
      </c>
      <c r="G458" s="20">
        <f>IF(F458="","",IF(F458="Promotor","Pedir reseña o recomendación",IF(F458="Pasivo","Preguntar qué le falta para un 10","Llamada de una persona en menos de 48 horas")))</f>
        <v/>
      </c>
      <c r="H458" s="18" t="n"/>
      <c r="I458" s="19" t="n"/>
    </row>
    <row r="459">
      <c r="A459" s="17" t="n"/>
      <c r="B459" s="18" t="n"/>
      <c r="C459" s="19" t="n"/>
      <c r="D459" s="18" t="n"/>
      <c r="E459" s="18" t="n"/>
      <c r="F459" s="10">
        <f>IF(C459="","",IF(C459&gt;=9,"Promotor",IF(C459&gt;=7,"Pasivo","Detractor")))</f>
        <v/>
      </c>
      <c r="G459" s="20">
        <f>IF(F459="","",IF(F459="Promotor","Pedir reseña o recomendación",IF(F459="Pasivo","Preguntar qué le falta para un 10","Llamada de una persona en menos de 48 horas")))</f>
        <v/>
      </c>
      <c r="H459" s="18" t="n"/>
      <c r="I459" s="19" t="n"/>
    </row>
    <row r="460">
      <c r="A460" s="17" t="n"/>
      <c r="B460" s="18" t="n"/>
      <c r="C460" s="19" t="n"/>
      <c r="D460" s="18" t="n"/>
      <c r="E460" s="18" t="n"/>
      <c r="F460" s="10">
        <f>IF(C460="","",IF(C460&gt;=9,"Promotor",IF(C460&gt;=7,"Pasivo","Detractor")))</f>
        <v/>
      </c>
      <c r="G460" s="20">
        <f>IF(F460="","",IF(F460="Promotor","Pedir reseña o recomendación",IF(F460="Pasivo","Preguntar qué le falta para un 10","Llamada de una persona en menos de 48 horas")))</f>
        <v/>
      </c>
      <c r="H460" s="18" t="n"/>
      <c r="I460" s="19" t="n"/>
    </row>
    <row r="461">
      <c r="A461" s="17" t="n"/>
      <c r="B461" s="18" t="n"/>
      <c r="C461" s="19" t="n"/>
      <c r="D461" s="18" t="n"/>
      <c r="E461" s="18" t="n"/>
      <c r="F461" s="10">
        <f>IF(C461="","",IF(C461&gt;=9,"Promotor",IF(C461&gt;=7,"Pasivo","Detractor")))</f>
        <v/>
      </c>
      <c r="G461" s="20">
        <f>IF(F461="","",IF(F461="Promotor","Pedir reseña o recomendación",IF(F461="Pasivo","Preguntar qué le falta para un 10","Llamada de una persona en menos de 48 horas")))</f>
        <v/>
      </c>
      <c r="H461" s="18" t="n"/>
      <c r="I461" s="19" t="n"/>
    </row>
    <row r="462">
      <c r="A462" s="17" t="n"/>
      <c r="B462" s="18" t="n"/>
      <c r="C462" s="19" t="n"/>
      <c r="D462" s="18" t="n"/>
      <c r="E462" s="18" t="n"/>
      <c r="F462" s="10">
        <f>IF(C462="","",IF(C462&gt;=9,"Promotor",IF(C462&gt;=7,"Pasivo","Detractor")))</f>
        <v/>
      </c>
      <c r="G462" s="20">
        <f>IF(F462="","",IF(F462="Promotor","Pedir reseña o recomendación",IF(F462="Pasivo","Preguntar qué le falta para un 10","Llamada de una persona en menos de 48 horas")))</f>
        <v/>
      </c>
      <c r="H462" s="18" t="n"/>
      <c r="I462" s="19" t="n"/>
    </row>
    <row r="463">
      <c r="A463" s="17" t="n"/>
      <c r="B463" s="18" t="n"/>
      <c r="C463" s="19" t="n"/>
      <c r="D463" s="18" t="n"/>
      <c r="E463" s="18" t="n"/>
      <c r="F463" s="10">
        <f>IF(C463="","",IF(C463&gt;=9,"Promotor",IF(C463&gt;=7,"Pasivo","Detractor")))</f>
        <v/>
      </c>
      <c r="G463" s="20">
        <f>IF(F463="","",IF(F463="Promotor","Pedir reseña o recomendación",IF(F463="Pasivo","Preguntar qué le falta para un 10","Llamada de una persona en menos de 48 horas")))</f>
        <v/>
      </c>
      <c r="H463" s="18" t="n"/>
      <c r="I463" s="19" t="n"/>
    </row>
    <row r="464">
      <c r="A464" s="17" t="n"/>
      <c r="B464" s="18" t="n"/>
      <c r="C464" s="19" t="n"/>
      <c r="D464" s="18" t="n"/>
      <c r="E464" s="18" t="n"/>
      <c r="F464" s="10">
        <f>IF(C464="","",IF(C464&gt;=9,"Promotor",IF(C464&gt;=7,"Pasivo","Detractor")))</f>
        <v/>
      </c>
      <c r="G464" s="20">
        <f>IF(F464="","",IF(F464="Promotor","Pedir reseña o recomendación",IF(F464="Pasivo","Preguntar qué le falta para un 10","Llamada de una persona en menos de 48 horas")))</f>
        <v/>
      </c>
      <c r="H464" s="18" t="n"/>
      <c r="I464" s="19" t="n"/>
    </row>
    <row r="465">
      <c r="A465" s="17" t="n"/>
      <c r="B465" s="18" t="n"/>
      <c r="C465" s="19" t="n"/>
      <c r="D465" s="18" t="n"/>
      <c r="E465" s="18" t="n"/>
      <c r="F465" s="10">
        <f>IF(C465="","",IF(C465&gt;=9,"Promotor",IF(C465&gt;=7,"Pasivo","Detractor")))</f>
        <v/>
      </c>
      <c r="G465" s="20">
        <f>IF(F465="","",IF(F465="Promotor","Pedir reseña o recomendación",IF(F465="Pasivo","Preguntar qué le falta para un 10","Llamada de una persona en menos de 48 horas")))</f>
        <v/>
      </c>
      <c r="H465" s="18" t="n"/>
      <c r="I465" s="19" t="n"/>
    </row>
    <row r="466">
      <c r="A466" s="17" t="n"/>
      <c r="B466" s="18" t="n"/>
      <c r="C466" s="19" t="n"/>
      <c r="D466" s="18" t="n"/>
      <c r="E466" s="18" t="n"/>
      <c r="F466" s="10">
        <f>IF(C466="","",IF(C466&gt;=9,"Promotor",IF(C466&gt;=7,"Pasivo","Detractor")))</f>
        <v/>
      </c>
      <c r="G466" s="20">
        <f>IF(F466="","",IF(F466="Promotor","Pedir reseña o recomendación",IF(F466="Pasivo","Preguntar qué le falta para un 10","Llamada de una persona en menos de 48 horas")))</f>
        <v/>
      </c>
      <c r="H466" s="18" t="n"/>
      <c r="I466" s="19" t="n"/>
    </row>
    <row r="467">
      <c r="A467" s="17" t="n"/>
      <c r="B467" s="18" t="n"/>
      <c r="C467" s="19" t="n"/>
      <c r="D467" s="18" t="n"/>
      <c r="E467" s="18" t="n"/>
      <c r="F467" s="10">
        <f>IF(C467="","",IF(C467&gt;=9,"Promotor",IF(C467&gt;=7,"Pasivo","Detractor")))</f>
        <v/>
      </c>
      <c r="G467" s="20">
        <f>IF(F467="","",IF(F467="Promotor","Pedir reseña o recomendación",IF(F467="Pasivo","Preguntar qué le falta para un 10","Llamada de una persona en menos de 48 horas")))</f>
        <v/>
      </c>
      <c r="H467" s="18" t="n"/>
      <c r="I467" s="19" t="n"/>
    </row>
    <row r="468">
      <c r="A468" s="17" t="n"/>
      <c r="B468" s="18" t="n"/>
      <c r="C468" s="19" t="n"/>
      <c r="D468" s="18" t="n"/>
      <c r="E468" s="18" t="n"/>
      <c r="F468" s="10">
        <f>IF(C468="","",IF(C468&gt;=9,"Promotor",IF(C468&gt;=7,"Pasivo","Detractor")))</f>
        <v/>
      </c>
      <c r="G468" s="20">
        <f>IF(F468="","",IF(F468="Promotor","Pedir reseña o recomendación",IF(F468="Pasivo","Preguntar qué le falta para un 10","Llamada de una persona en menos de 48 horas")))</f>
        <v/>
      </c>
      <c r="H468" s="18" t="n"/>
      <c r="I468" s="19" t="n"/>
    </row>
    <row r="469">
      <c r="A469" s="17" t="n"/>
      <c r="B469" s="18" t="n"/>
      <c r="C469" s="19" t="n"/>
      <c r="D469" s="18" t="n"/>
      <c r="E469" s="18" t="n"/>
      <c r="F469" s="10">
        <f>IF(C469="","",IF(C469&gt;=9,"Promotor",IF(C469&gt;=7,"Pasivo","Detractor")))</f>
        <v/>
      </c>
      <c r="G469" s="20">
        <f>IF(F469="","",IF(F469="Promotor","Pedir reseña o recomendación",IF(F469="Pasivo","Preguntar qué le falta para un 10","Llamada de una persona en menos de 48 horas")))</f>
        <v/>
      </c>
      <c r="H469" s="18" t="n"/>
      <c r="I469" s="19" t="n"/>
    </row>
    <row r="470">
      <c r="A470" s="17" t="n"/>
      <c r="B470" s="18" t="n"/>
      <c r="C470" s="19" t="n"/>
      <c r="D470" s="18" t="n"/>
      <c r="E470" s="18" t="n"/>
      <c r="F470" s="10">
        <f>IF(C470="","",IF(C470&gt;=9,"Promotor",IF(C470&gt;=7,"Pasivo","Detractor")))</f>
        <v/>
      </c>
      <c r="G470" s="20">
        <f>IF(F470="","",IF(F470="Promotor","Pedir reseña o recomendación",IF(F470="Pasivo","Preguntar qué le falta para un 10","Llamada de una persona en menos de 48 horas")))</f>
        <v/>
      </c>
      <c r="H470" s="18" t="n"/>
      <c r="I470" s="19" t="n"/>
    </row>
    <row r="471">
      <c r="A471" s="17" t="n"/>
      <c r="B471" s="18" t="n"/>
      <c r="C471" s="19" t="n"/>
      <c r="D471" s="18" t="n"/>
      <c r="E471" s="18" t="n"/>
      <c r="F471" s="10">
        <f>IF(C471="","",IF(C471&gt;=9,"Promotor",IF(C471&gt;=7,"Pasivo","Detractor")))</f>
        <v/>
      </c>
      <c r="G471" s="20">
        <f>IF(F471="","",IF(F471="Promotor","Pedir reseña o recomendación",IF(F471="Pasivo","Preguntar qué le falta para un 10","Llamada de una persona en menos de 48 horas")))</f>
        <v/>
      </c>
      <c r="H471" s="18" t="n"/>
      <c r="I471" s="19" t="n"/>
    </row>
    <row r="472">
      <c r="A472" s="17" t="n"/>
      <c r="B472" s="18" t="n"/>
      <c r="C472" s="19" t="n"/>
      <c r="D472" s="18" t="n"/>
      <c r="E472" s="18" t="n"/>
      <c r="F472" s="10">
        <f>IF(C472="","",IF(C472&gt;=9,"Promotor",IF(C472&gt;=7,"Pasivo","Detractor")))</f>
        <v/>
      </c>
      <c r="G472" s="20">
        <f>IF(F472="","",IF(F472="Promotor","Pedir reseña o recomendación",IF(F472="Pasivo","Preguntar qué le falta para un 10","Llamada de una persona en menos de 48 horas")))</f>
        <v/>
      </c>
      <c r="H472" s="18" t="n"/>
      <c r="I472" s="19" t="n"/>
    </row>
    <row r="473">
      <c r="A473" s="17" t="n"/>
      <c r="B473" s="18" t="n"/>
      <c r="C473" s="19" t="n"/>
      <c r="D473" s="18" t="n"/>
      <c r="E473" s="18" t="n"/>
      <c r="F473" s="10">
        <f>IF(C473="","",IF(C473&gt;=9,"Promotor",IF(C473&gt;=7,"Pasivo","Detractor")))</f>
        <v/>
      </c>
      <c r="G473" s="20">
        <f>IF(F473="","",IF(F473="Promotor","Pedir reseña o recomendación",IF(F473="Pasivo","Preguntar qué le falta para un 10","Llamada de una persona en menos de 48 horas")))</f>
        <v/>
      </c>
      <c r="H473" s="18" t="n"/>
      <c r="I473" s="19" t="n"/>
    </row>
    <row r="474">
      <c r="A474" s="17" t="n"/>
      <c r="B474" s="18" t="n"/>
      <c r="C474" s="19" t="n"/>
      <c r="D474" s="18" t="n"/>
      <c r="E474" s="18" t="n"/>
      <c r="F474" s="10">
        <f>IF(C474="","",IF(C474&gt;=9,"Promotor",IF(C474&gt;=7,"Pasivo","Detractor")))</f>
        <v/>
      </c>
      <c r="G474" s="20">
        <f>IF(F474="","",IF(F474="Promotor","Pedir reseña o recomendación",IF(F474="Pasivo","Preguntar qué le falta para un 10","Llamada de una persona en menos de 48 horas")))</f>
        <v/>
      </c>
      <c r="H474" s="18" t="n"/>
      <c r="I474" s="19" t="n"/>
    </row>
    <row r="475">
      <c r="A475" s="17" t="n"/>
      <c r="B475" s="18" t="n"/>
      <c r="C475" s="19" t="n"/>
      <c r="D475" s="18" t="n"/>
      <c r="E475" s="18" t="n"/>
      <c r="F475" s="10">
        <f>IF(C475="","",IF(C475&gt;=9,"Promotor",IF(C475&gt;=7,"Pasivo","Detractor")))</f>
        <v/>
      </c>
      <c r="G475" s="20">
        <f>IF(F475="","",IF(F475="Promotor","Pedir reseña o recomendación",IF(F475="Pasivo","Preguntar qué le falta para un 10","Llamada de una persona en menos de 48 horas")))</f>
        <v/>
      </c>
      <c r="H475" s="18" t="n"/>
      <c r="I475" s="19" t="n"/>
    </row>
    <row r="476">
      <c r="A476" s="17" t="n"/>
      <c r="B476" s="18" t="n"/>
      <c r="C476" s="19" t="n"/>
      <c r="D476" s="18" t="n"/>
      <c r="E476" s="18" t="n"/>
      <c r="F476" s="10">
        <f>IF(C476="","",IF(C476&gt;=9,"Promotor",IF(C476&gt;=7,"Pasivo","Detractor")))</f>
        <v/>
      </c>
      <c r="G476" s="20">
        <f>IF(F476="","",IF(F476="Promotor","Pedir reseña o recomendación",IF(F476="Pasivo","Preguntar qué le falta para un 10","Llamada de una persona en menos de 48 horas")))</f>
        <v/>
      </c>
      <c r="H476" s="18" t="n"/>
      <c r="I476" s="19" t="n"/>
    </row>
    <row r="477">
      <c r="A477" s="17" t="n"/>
      <c r="B477" s="18" t="n"/>
      <c r="C477" s="19" t="n"/>
      <c r="D477" s="18" t="n"/>
      <c r="E477" s="18" t="n"/>
      <c r="F477" s="10">
        <f>IF(C477="","",IF(C477&gt;=9,"Promotor",IF(C477&gt;=7,"Pasivo","Detractor")))</f>
        <v/>
      </c>
      <c r="G477" s="20">
        <f>IF(F477="","",IF(F477="Promotor","Pedir reseña o recomendación",IF(F477="Pasivo","Preguntar qué le falta para un 10","Llamada de una persona en menos de 48 horas")))</f>
        <v/>
      </c>
      <c r="H477" s="18" t="n"/>
      <c r="I477" s="19" t="n"/>
    </row>
    <row r="478">
      <c r="A478" s="17" t="n"/>
      <c r="B478" s="18" t="n"/>
      <c r="C478" s="19" t="n"/>
      <c r="D478" s="18" t="n"/>
      <c r="E478" s="18" t="n"/>
      <c r="F478" s="10">
        <f>IF(C478="","",IF(C478&gt;=9,"Promotor",IF(C478&gt;=7,"Pasivo","Detractor")))</f>
        <v/>
      </c>
      <c r="G478" s="20">
        <f>IF(F478="","",IF(F478="Promotor","Pedir reseña o recomendación",IF(F478="Pasivo","Preguntar qué le falta para un 10","Llamada de una persona en menos de 48 horas")))</f>
        <v/>
      </c>
      <c r="H478" s="18" t="n"/>
      <c r="I478" s="19" t="n"/>
    </row>
    <row r="479">
      <c r="A479" s="17" t="n"/>
      <c r="B479" s="18" t="n"/>
      <c r="C479" s="19" t="n"/>
      <c r="D479" s="18" t="n"/>
      <c r="E479" s="18" t="n"/>
      <c r="F479" s="10">
        <f>IF(C479="","",IF(C479&gt;=9,"Promotor",IF(C479&gt;=7,"Pasivo","Detractor")))</f>
        <v/>
      </c>
      <c r="G479" s="20">
        <f>IF(F479="","",IF(F479="Promotor","Pedir reseña o recomendación",IF(F479="Pasivo","Preguntar qué le falta para un 10","Llamada de una persona en menos de 48 horas")))</f>
        <v/>
      </c>
      <c r="H479" s="18" t="n"/>
      <c r="I479" s="19" t="n"/>
    </row>
    <row r="480">
      <c r="A480" s="17" t="n"/>
      <c r="B480" s="18" t="n"/>
      <c r="C480" s="19" t="n"/>
      <c r="D480" s="18" t="n"/>
      <c r="E480" s="18" t="n"/>
      <c r="F480" s="10">
        <f>IF(C480="","",IF(C480&gt;=9,"Promotor",IF(C480&gt;=7,"Pasivo","Detractor")))</f>
        <v/>
      </c>
      <c r="G480" s="20">
        <f>IF(F480="","",IF(F480="Promotor","Pedir reseña o recomendación",IF(F480="Pasivo","Preguntar qué le falta para un 10","Llamada de una persona en menos de 48 horas")))</f>
        <v/>
      </c>
      <c r="H480" s="18" t="n"/>
      <c r="I480" s="19" t="n"/>
    </row>
    <row r="481">
      <c r="A481" s="17" t="n"/>
      <c r="B481" s="18" t="n"/>
      <c r="C481" s="19" t="n"/>
      <c r="D481" s="18" t="n"/>
      <c r="E481" s="18" t="n"/>
      <c r="F481" s="10">
        <f>IF(C481="","",IF(C481&gt;=9,"Promotor",IF(C481&gt;=7,"Pasivo","Detractor")))</f>
        <v/>
      </c>
      <c r="G481" s="20">
        <f>IF(F481="","",IF(F481="Promotor","Pedir reseña o recomendación",IF(F481="Pasivo","Preguntar qué le falta para un 10","Llamada de una persona en menos de 48 horas")))</f>
        <v/>
      </c>
      <c r="H481" s="18" t="n"/>
      <c r="I481" s="19" t="n"/>
    </row>
    <row r="482">
      <c r="A482" s="17" t="n"/>
      <c r="B482" s="18" t="n"/>
      <c r="C482" s="19" t="n"/>
      <c r="D482" s="18" t="n"/>
      <c r="E482" s="18" t="n"/>
      <c r="F482" s="10">
        <f>IF(C482="","",IF(C482&gt;=9,"Promotor",IF(C482&gt;=7,"Pasivo","Detractor")))</f>
        <v/>
      </c>
      <c r="G482" s="20">
        <f>IF(F482="","",IF(F482="Promotor","Pedir reseña o recomendación",IF(F482="Pasivo","Preguntar qué le falta para un 10","Llamada de una persona en menos de 48 horas")))</f>
        <v/>
      </c>
      <c r="H482" s="18" t="n"/>
      <c r="I482" s="19" t="n"/>
    </row>
    <row r="483">
      <c r="A483" s="17" t="n"/>
      <c r="B483" s="18" t="n"/>
      <c r="C483" s="19" t="n"/>
      <c r="D483" s="18" t="n"/>
      <c r="E483" s="18" t="n"/>
      <c r="F483" s="10">
        <f>IF(C483="","",IF(C483&gt;=9,"Promotor",IF(C483&gt;=7,"Pasivo","Detractor")))</f>
        <v/>
      </c>
      <c r="G483" s="20">
        <f>IF(F483="","",IF(F483="Promotor","Pedir reseña o recomendación",IF(F483="Pasivo","Preguntar qué le falta para un 10","Llamada de una persona en menos de 48 horas")))</f>
        <v/>
      </c>
      <c r="H483" s="18" t="n"/>
      <c r="I483" s="19" t="n"/>
    </row>
    <row r="484">
      <c r="A484" s="17" t="n"/>
      <c r="B484" s="18" t="n"/>
      <c r="C484" s="19" t="n"/>
      <c r="D484" s="18" t="n"/>
      <c r="E484" s="18" t="n"/>
      <c r="F484" s="10">
        <f>IF(C484="","",IF(C484&gt;=9,"Promotor",IF(C484&gt;=7,"Pasivo","Detractor")))</f>
        <v/>
      </c>
      <c r="G484" s="20">
        <f>IF(F484="","",IF(F484="Promotor","Pedir reseña o recomendación",IF(F484="Pasivo","Preguntar qué le falta para un 10","Llamada de una persona en menos de 48 horas")))</f>
        <v/>
      </c>
      <c r="H484" s="18" t="n"/>
      <c r="I484" s="19" t="n"/>
    </row>
    <row r="485">
      <c r="A485" s="17" t="n"/>
      <c r="B485" s="18" t="n"/>
      <c r="C485" s="19" t="n"/>
      <c r="D485" s="18" t="n"/>
      <c r="E485" s="18" t="n"/>
      <c r="F485" s="10">
        <f>IF(C485="","",IF(C485&gt;=9,"Promotor",IF(C485&gt;=7,"Pasivo","Detractor")))</f>
        <v/>
      </c>
      <c r="G485" s="20">
        <f>IF(F485="","",IF(F485="Promotor","Pedir reseña o recomendación",IF(F485="Pasivo","Preguntar qué le falta para un 10","Llamada de una persona en menos de 48 horas")))</f>
        <v/>
      </c>
      <c r="H485" s="18" t="n"/>
      <c r="I485" s="19" t="n"/>
    </row>
    <row r="486">
      <c r="A486" s="17" t="n"/>
      <c r="B486" s="18" t="n"/>
      <c r="C486" s="19" t="n"/>
      <c r="D486" s="18" t="n"/>
      <c r="E486" s="18" t="n"/>
      <c r="F486" s="10">
        <f>IF(C486="","",IF(C486&gt;=9,"Promotor",IF(C486&gt;=7,"Pasivo","Detractor")))</f>
        <v/>
      </c>
      <c r="G486" s="20">
        <f>IF(F486="","",IF(F486="Promotor","Pedir reseña o recomendación",IF(F486="Pasivo","Preguntar qué le falta para un 10","Llamada de una persona en menos de 48 horas")))</f>
        <v/>
      </c>
      <c r="H486" s="18" t="n"/>
      <c r="I486" s="19" t="n"/>
    </row>
    <row r="487">
      <c r="A487" s="17" t="n"/>
      <c r="B487" s="18" t="n"/>
      <c r="C487" s="19" t="n"/>
      <c r="D487" s="18" t="n"/>
      <c r="E487" s="18" t="n"/>
      <c r="F487" s="10">
        <f>IF(C487="","",IF(C487&gt;=9,"Promotor",IF(C487&gt;=7,"Pasivo","Detractor")))</f>
        <v/>
      </c>
      <c r="G487" s="20">
        <f>IF(F487="","",IF(F487="Promotor","Pedir reseña o recomendación",IF(F487="Pasivo","Preguntar qué le falta para un 10","Llamada de una persona en menos de 48 horas")))</f>
        <v/>
      </c>
      <c r="H487" s="18" t="n"/>
      <c r="I487" s="19" t="n"/>
    </row>
    <row r="488">
      <c r="A488" s="17" t="n"/>
      <c r="B488" s="18" t="n"/>
      <c r="C488" s="19" t="n"/>
      <c r="D488" s="18" t="n"/>
      <c r="E488" s="18" t="n"/>
      <c r="F488" s="10">
        <f>IF(C488="","",IF(C488&gt;=9,"Promotor",IF(C488&gt;=7,"Pasivo","Detractor")))</f>
        <v/>
      </c>
      <c r="G488" s="20">
        <f>IF(F488="","",IF(F488="Promotor","Pedir reseña o recomendación",IF(F488="Pasivo","Preguntar qué le falta para un 10","Llamada de una persona en menos de 48 horas")))</f>
        <v/>
      </c>
      <c r="H488" s="18" t="n"/>
      <c r="I488" s="19" t="n"/>
    </row>
    <row r="489">
      <c r="A489" s="17" t="n"/>
      <c r="B489" s="18" t="n"/>
      <c r="C489" s="19" t="n"/>
      <c r="D489" s="18" t="n"/>
      <c r="E489" s="18" t="n"/>
      <c r="F489" s="10">
        <f>IF(C489="","",IF(C489&gt;=9,"Promotor",IF(C489&gt;=7,"Pasivo","Detractor")))</f>
        <v/>
      </c>
      <c r="G489" s="20">
        <f>IF(F489="","",IF(F489="Promotor","Pedir reseña o recomendación",IF(F489="Pasivo","Preguntar qué le falta para un 10","Llamada de una persona en menos de 48 horas")))</f>
        <v/>
      </c>
      <c r="H489" s="18" t="n"/>
      <c r="I489" s="19" t="n"/>
    </row>
    <row r="490">
      <c r="A490" s="17" t="n"/>
      <c r="B490" s="18" t="n"/>
      <c r="C490" s="19" t="n"/>
      <c r="D490" s="18" t="n"/>
      <c r="E490" s="18" t="n"/>
      <c r="F490" s="10">
        <f>IF(C490="","",IF(C490&gt;=9,"Promotor",IF(C490&gt;=7,"Pasivo","Detractor")))</f>
        <v/>
      </c>
      <c r="G490" s="20">
        <f>IF(F490="","",IF(F490="Promotor","Pedir reseña o recomendación",IF(F490="Pasivo","Preguntar qué le falta para un 10","Llamada de una persona en menos de 48 horas")))</f>
        <v/>
      </c>
      <c r="H490" s="18" t="n"/>
      <c r="I490" s="19" t="n"/>
    </row>
    <row r="491">
      <c r="A491" s="17" t="n"/>
      <c r="B491" s="18" t="n"/>
      <c r="C491" s="19" t="n"/>
      <c r="D491" s="18" t="n"/>
      <c r="E491" s="18" t="n"/>
      <c r="F491" s="10">
        <f>IF(C491="","",IF(C491&gt;=9,"Promotor",IF(C491&gt;=7,"Pasivo","Detractor")))</f>
        <v/>
      </c>
      <c r="G491" s="20">
        <f>IF(F491="","",IF(F491="Promotor","Pedir reseña o recomendación",IF(F491="Pasivo","Preguntar qué le falta para un 10","Llamada de una persona en menos de 48 horas")))</f>
        <v/>
      </c>
      <c r="H491" s="18" t="n"/>
      <c r="I491" s="19" t="n"/>
    </row>
    <row r="492">
      <c r="A492" s="17" t="n"/>
      <c r="B492" s="18" t="n"/>
      <c r="C492" s="19" t="n"/>
      <c r="D492" s="18" t="n"/>
      <c r="E492" s="18" t="n"/>
      <c r="F492" s="10">
        <f>IF(C492="","",IF(C492&gt;=9,"Promotor",IF(C492&gt;=7,"Pasivo","Detractor")))</f>
        <v/>
      </c>
      <c r="G492" s="20">
        <f>IF(F492="","",IF(F492="Promotor","Pedir reseña o recomendación",IF(F492="Pasivo","Preguntar qué le falta para un 10","Llamada de una persona en menos de 48 horas")))</f>
        <v/>
      </c>
      <c r="H492" s="18" t="n"/>
      <c r="I492" s="19" t="n"/>
    </row>
    <row r="493">
      <c r="A493" s="17" t="n"/>
      <c r="B493" s="18" t="n"/>
      <c r="C493" s="19" t="n"/>
      <c r="D493" s="18" t="n"/>
      <c r="E493" s="18" t="n"/>
      <c r="F493" s="10">
        <f>IF(C493="","",IF(C493&gt;=9,"Promotor",IF(C493&gt;=7,"Pasivo","Detractor")))</f>
        <v/>
      </c>
      <c r="G493" s="20">
        <f>IF(F493="","",IF(F493="Promotor","Pedir reseña o recomendación",IF(F493="Pasivo","Preguntar qué le falta para un 10","Llamada de una persona en menos de 48 horas")))</f>
        <v/>
      </c>
      <c r="H493" s="18" t="n"/>
      <c r="I493" s="19" t="n"/>
    </row>
    <row r="494">
      <c r="A494" s="17" t="n"/>
      <c r="B494" s="18" t="n"/>
      <c r="C494" s="19" t="n"/>
      <c r="D494" s="18" t="n"/>
      <c r="E494" s="18" t="n"/>
      <c r="F494" s="10">
        <f>IF(C494="","",IF(C494&gt;=9,"Promotor",IF(C494&gt;=7,"Pasivo","Detractor")))</f>
        <v/>
      </c>
      <c r="G494" s="20">
        <f>IF(F494="","",IF(F494="Promotor","Pedir reseña o recomendación",IF(F494="Pasivo","Preguntar qué le falta para un 10","Llamada de una persona en menos de 48 horas")))</f>
        <v/>
      </c>
      <c r="H494" s="18" t="n"/>
      <c r="I494" s="19" t="n"/>
    </row>
    <row r="495">
      <c r="A495" s="17" t="n"/>
      <c r="B495" s="18" t="n"/>
      <c r="C495" s="19" t="n"/>
      <c r="D495" s="18" t="n"/>
      <c r="E495" s="18" t="n"/>
      <c r="F495" s="10">
        <f>IF(C495="","",IF(C495&gt;=9,"Promotor",IF(C495&gt;=7,"Pasivo","Detractor")))</f>
        <v/>
      </c>
      <c r="G495" s="20">
        <f>IF(F495="","",IF(F495="Promotor","Pedir reseña o recomendación",IF(F495="Pasivo","Preguntar qué le falta para un 10","Llamada de una persona en menos de 48 horas")))</f>
        <v/>
      </c>
      <c r="H495" s="18" t="n"/>
      <c r="I495" s="19" t="n"/>
    </row>
    <row r="496">
      <c r="A496" s="17" t="n"/>
      <c r="B496" s="18" t="n"/>
      <c r="C496" s="19" t="n"/>
      <c r="D496" s="18" t="n"/>
      <c r="E496" s="18" t="n"/>
      <c r="F496" s="10">
        <f>IF(C496="","",IF(C496&gt;=9,"Promotor",IF(C496&gt;=7,"Pasivo","Detractor")))</f>
        <v/>
      </c>
      <c r="G496" s="20">
        <f>IF(F496="","",IF(F496="Promotor","Pedir reseña o recomendación",IF(F496="Pasivo","Preguntar qué le falta para un 10","Llamada de una persona en menos de 48 horas")))</f>
        <v/>
      </c>
      <c r="H496" s="18" t="n"/>
      <c r="I496" s="19" t="n"/>
    </row>
    <row r="497">
      <c r="A497" s="17" t="n"/>
      <c r="B497" s="18" t="n"/>
      <c r="C497" s="19" t="n"/>
      <c r="D497" s="18" t="n"/>
      <c r="E497" s="18" t="n"/>
      <c r="F497" s="10">
        <f>IF(C497="","",IF(C497&gt;=9,"Promotor",IF(C497&gt;=7,"Pasivo","Detractor")))</f>
        <v/>
      </c>
      <c r="G497" s="20">
        <f>IF(F497="","",IF(F497="Promotor","Pedir reseña o recomendación",IF(F497="Pasivo","Preguntar qué le falta para un 10","Llamada de una persona en menos de 48 horas")))</f>
        <v/>
      </c>
      <c r="H497" s="18" t="n"/>
      <c r="I497" s="19" t="n"/>
    </row>
    <row r="498">
      <c r="A498" s="17" t="n"/>
      <c r="B498" s="18" t="n"/>
      <c r="C498" s="19" t="n"/>
      <c r="D498" s="18" t="n"/>
      <c r="E498" s="18" t="n"/>
      <c r="F498" s="10">
        <f>IF(C498="","",IF(C498&gt;=9,"Promotor",IF(C498&gt;=7,"Pasivo","Detractor")))</f>
        <v/>
      </c>
      <c r="G498" s="20">
        <f>IF(F498="","",IF(F498="Promotor","Pedir reseña o recomendación",IF(F498="Pasivo","Preguntar qué le falta para un 10","Llamada de una persona en menos de 48 horas")))</f>
        <v/>
      </c>
      <c r="H498" s="18" t="n"/>
      <c r="I498" s="19" t="n"/>
    </row>
    <row r="499">
      <c r="A499" s="17" t="n"/>
      <c r="B499" s="18" t="n"/>
      <c r="C499" s="19" t="n"/>
      <c r="D499" s="18" t="n"/>
      <c r="E499" s="18" t="n"/>
      <c r="F499" s="10">
        <f>IF(C499="","",IF(C499&gt;=9,"Promotor",IF(C499&gt;=7,"Pasivo","Detractor")))</f>
        <v/>
      </c>
      <c r="G499" s="20">
        <f>IF(F499="","",IF(F499="Promotor","Pedir reseña o recomendación",IF(F499="Pasivo","Preguntar qué le falta para un 10","Llamada de una persona en menos de 48 horas")))</f>
        <v/>
      </c>
      <c r="H499" s="18" t="n"/>
      <c r="I499" s="19" t="n"/>
    </row>
    <row r="500">
      <c r="A500" s="17" t="n"/>
      <c r="B500" s="18" t="n"/>
      <c r="C500" s="19" t="n"/>
      <c r="D500" s="18" t="n"/>
      <c r="E500" s="18" t="n"/>
      <c r="F500" s="10">
        <f>IF(C500="","",IF(C500&gt;=9,"Promotor",IF(C500&gt;=7,"Pasivo","Detractor")))</f>
        <v/>
      </c>
      <c r="G500" s="20">
        <f>IF(F500="","",IF(F500="Promotor","Pedir reseña o recomendación",IF(F500="Pasivo","Preguntar qué le falta para un 10","Llamada de una persona en menos de 48 horas")))</f>
        <v/>
      </c>
      <c r="H500" s="18" t="n"/>
      <c r="I500" s="19" t="n"/>
    </row>
    <row r="501">
      <c r="A501" s="17" t="n"/>
      <c r="B501" s="18" t="n"/>
      <c r="C501" s="19" t="n"/>
      <c r="D501" s="18" t="n"/>
      <c r="E501" s="18" t="n"/>
      <c r="F501" s="10">
        <f>IF(C501="","",IF(C501&gt;=9,"Promotor",IF(C501&gt;=7,"Pasivo","Detractor")))</f>
        <v/>
      </c>
      <c r="G501" s="20">
        <f>IF(F501="","",IF(F501="Promotor","Pedir reseña o recomendación",IF(F501="Pasivo","Preguntar qué le falta para un 10","Llamada de una persona en menos de 48 horas")))</f>
        <v/>
      </c>
      <c r="H501" s="18" t="n"/>
      <c r="I501" s="19" t="n"/>
    </row>
    <row r="502">
      <c r="A502" s="17" t="n"/>
      <c r="B502" s="18" t="n"/>
      <c r="C502" s="19" t="n"/>
      <c r="D502" s="18" t="n"/>
      <c r="E502" s="18" t="n"/>
      <c r="F502" s="10">
        <f>IF(C502="","",IF(C502&gt;=9,"Promotor",IF(C502&gt;=7,"Pasivo","Detractor")))</f>
        <v/>
      </c>
      <c r="G502" s="20">
        <f>IF(F502="","",IF(F502="Promotor","Pedir reseña o recomendación",IF(F502="Pasivo","Preguntar qué le falta para un 10","Llamada de una persona en menos de 48 horas")))</f>
        <v/>
      </c>
      <c r="H502" s="18" t="n"/>
      <c r="I502" s="19" t="n"/>
    </row>
    <row r="503">
      <c r="A503" s="17" t="n"/>
      <c r="B503" s="18" t="n"/>
      <c r="C503" s="19" t="n"/>
      <c r="D503" s="18" t="n"/>
      <c r="E503" s="18" t="n"/>
      <c r="F503" s="10">
        <f>IF(C503="","",IF(C503&gt;=9,"Promotor",IF(C503&gt;=7,"Pasivo","Detractor")))</f>
        <v/>
      </c>
      <c r="G503" s="20">
        <f>IF(F503="","",IF(F503="Promotor","Pedir reseña o recomendación",IF(F503="Pasivo","Preguntar qué le falta para un 10","Llamada de una persona en menos de 48 horas")))</f>
        <v/>
      </c>
      <c r="H503" s="18" t="n"/>
      <c r="I503" s="19" t="n"/>
    </row>
    <row r="504">
      <c r="A504" s="17" t="n"/>
      <c r="B504" s="18" t="n"/>
      <c r="C504" s="19" t="n"/>
      <c r="D504" s="18" t="n"/>
      <c r="E504" s="18" t="n"/>
      <c r="F504" s="10">
        <f>IF(C504="","",IF(C504&gt;=9,"Promotor",IF(C504&gt;=7,"Pasivo","Detractor")))</f>
        <v/>
      </c>
      <c r="G504" s="20">
        <f>IF(F504="","",IF(F504="Promotor","Pedir reseña o recomendación",IF(F504="Pasivo","Preguntar qué le falta para un 10","Llamada de una persona en menos de 48 horas")))</f>
        <v/>
      </c>
      <c r="H504" s="18" t="n"/>
      <c r="I504" s="19" t="n"/>
    </row>
    <row r="505">
      <c r="A505" s="17" t="n"/>
      <c r="B505" s="18" t="n"/>
      <c r="C505" s="19" t="n"/>
      <c r="D505" s="18" t="n"/>
      <c r="E505" s="18" t="n"/>
      <c r="F505" s="10">
        <f>IF(C505="","",IF(C505&gt;=9,"Promotor",IF(C505&gt;=7,"Pasivo","Detractor")))</f>
        <v/>
      </c>
      <c r="G505" s="20">
        <f>IF(F505="","",IF(F505="Promotor","Pedir reseña o recomendación",IF(F505="Pasivo","Preguntar qué le falta para un 10","Llamada de una persona en menos de 48 horas")))</f>
        <v/>
      </c>
      <c r="H505" s="18" t="n"/>
      <c r="I505" s="19" t="n"/>
    </row>
    <row r="506">
      <c r="A506" s="17" t="n"/>
      <c r="B506" s="18" t="n"/>
      <c r="C506" s="19" t="n"/>
      <c r="D506" s="18" t="n"/>
      <c r="E506" s="18" t="n"/>
      <c r="F506" s="10">
        <f>IF(C506="","",IF(C506&gt;=9,"Promotor",IF(C506&gt;=7,"Pasivo","Detractor")))</f>
        <v/>
      </c>
      <c r="G506" s="20">
        <f>IF(F506="","",IF(F506="Promotor","Pedir reseña o recomendación",IF(F506="Pasivo","Preguntar qué le falta para un 10","Llamada de una persona en menos de 48 horas")))</f>
        <v/>
      </c>
      <c r="H506" s="18" t="n"/>
      <c r="I506" s="19" t="n"/>
    </row>
    <row r="507">
      <c r="A507" s="17" t="n"/>
      <c r="B507" s="18" t="n"/>
      <c r="C507" s="19" t="n"/>
      <c r="D507" s="18" t="n"/>
      <c r="E507" s="18" t="n"/>
      <c r="F507" s="10">
        <f>IF(C507="","",IF(C507&gt;=9,"Promotor",IF(C507&gt;=7,"Pasivo","Detractor")))</f>
        <v/>
      </c>
      <c r="G507" s="20">
        <f>IF(F507="","",IF(F507="Promotor","Pedir reseña o recomendación",IF(F507="Pasivo","Preguntar qué le falta para un 10","Llamada de una persona en menos de 48 horas")))</f>
        <v/>
      </c>
      <c r="H507" s="18" t="n"/>
      <c r="I507" s="19" t="n"/>
    </row>
    <row r="508">
      <c r="A508" s="17" t="n"/>
      <c r="B508" s="18" t="n"/>
      <c r="C508" s="19" t="n"/>
      <c r="D508" s="18" t="n"/>
      <c r="E508" s="18" t="n"/>
      <c r="F508" s="10">
        <f>IF(C508="","",IF(C508&gt;=9,"Promotor",IF(C508&gt;=7,"Pasivo","Detractor")))</f>
        <v/>
      </c>
      <c r="G508" s="20">
        <f>IF(F508="","",IF(F508="Promotor","Pedir reseña o recomendación",IF(F508="Pasivo","Preguntar qué le falta para un 10","Llamada de una persona en menos de 48 horas")))</f>
        <v/>
      </c>
      <c r="H508" s="18" t="n"/>
      <c r="I508" s="19" t="n"/>
    </row>
    <row r="509">
      <c r="A509" s="17" t="n"/>
      <c r="B509" s="18" t="n"/>
      <c r="C509" s="19" t="n"/>
      <c r="D509" s="18" t="n"/>
      <c r="E509" s="18" t="n"/>
      <c r="F509" s="10">
        <f>IF(C509="","",IF(C509&gt;=9,"Promotor",IF(C509&gt;=7,"Pasivo","Detractor")))</f>
        <v/>
      </c>
      <c r="G509" s="20">
        <f>IF(F509="","",IF(F509="Promotor","Pedir reseña o recomendación",IF(F509="Pasivo","Preguntar qué le falta para un 10","Llamada de una persona en menos de 48 horas")))</f>
        <v/>
      </c>
      <c r="H509" s="18" t="n"/>
      <c r="I509" s="19" t="n"/>
    </row>
    <row r="510">
      <c r="A510" s="17" t="n"/>
      <c r="B510" s="18" t="n"/>
      <c r="C510" s="19" t="n"/>
      <c r="D510" s="18" t="n"/>
      <c r="E510" s="18" t="n"/>
      <c r="F510" s="10">
        <f>IF(C510="","",IF(C510&gt;=9,"Promotor",IF(C510&gt;=7,"Pasivo","Detractor")))</f>
        <v/>
      </c>
      <c r="G510" s="20">
        <f>IF(F510="","",IF(F510="Promotor","Pedir reseña o recomendación",IF(F510="Pasivo","Preguntar qué le falta para un 10","Llamada de una persona en menos de 48 horas")))</f>
        <v/>
      </c>
      <c r="H510" s="18" t="n"/>
      <c r="I510" s="19" t="n"/>
    </row>
    <row r="511">
      <c r="A511" s="17" t="n"/>
      <c r="B511" s="18" t="n"/>
      <c r="C511" s="19" t="n"/>
      <c r="D511" s="18" t="n"/>
      <c r="E511" s="18" t="n"/>
      <c r="F511" s="10">
        <f>IF(C511="","",IF(C511&gt;=9,"Promotor",IF(C511&gt;=7,"Pasivo","Detractor")))</f>
        <v/>
      </c>
      <c r="G511" s="20">
        <f>IF(F511="","",IF(F511="Promotor","Pedir reseña o recomendación",IF(F511="Pasivo","Preguntar qué le falta para un 10","Llamada de una persona en menos de 48 horas")))</f>
        <v/>
      </c>
      <c r="H511" s="18" t="n"/>
      <c r="I511" s="19" t="n"/>
    </row>
    <row r="512">
      <c r="A512" s="17" t="n"/>
      <c r="B512" s="18" t="n"/>
      <c r="C512" s="19" t="n"/>
      <c r="D512" s="18" t="n"/>
      <c r="E512" s="18" t="n"/>
      <c r="F512" s="10">
        <f>IF(C512="","",IF(C512&gt;=9,"Promotor",IF(C512&gt;=7,"Pasivo","Detractor")))</f>
        <v/>
      </c>
      <c r="G512" s="20">
        <f>IF(F512="","",IF(F512="Promotor","Pedir reseña o recomendación",IF(F512="Pasivo","Preguntar qué le falta para un 10","Llamada de una persona en menos de 48 horas")))</f>
        <v/>
      </c>
      <c r="H512" s="18" t="n"/>
      <c r="I512" s="19" t="n"/>
    </row>
    <row r="513">
      <c r="A513" s="17" t="n"/>
      <c r="B513" s="18" t="n"/>
      <c r="C513" s="19" t="n"/>
      <c r="D513" s="18" t="n"/>
      <c r="E513" s="18" t="n"/>
      <c r="F513" s="10">
        <f>IF(C513="","",IF(C513&gt;=9,"Promotor",IF(C513&gt;=7,"Pasivo","Detractor")))</f>
        <v/>
      </c>
      <c r="G513" s="20">
        <f>IF(F513="","",IF(F513="Promotor","Pedir reseña o recomendación",IF(F513="Pasivo","Preguntar qué le falta para un 10","Llamada de una persona en menos de 48 horas")))</f>
        <v/>
      </c>
      <c r="H513" s="18" t="n"/>
      <c r="I513" s="19" t="n"/>
    </row>
  </sheetData>
  <mergeCells count="5">
    <mergeCell ref="A8"/>
    <mergeCell ref="A6"/>
    <mergeCell ref="A9"/>
    <mergeCell ref="A7"/>
    <mergeCell ref="A5"/>
  </mergeCells>
  <conditionalFormatting sqref="F14:F513">
    <cfRule type="cellIs" priority="1" operator="equal" dxfId="0">
      <formula>"Detractor"</formula>
    </cfRule>
    <cfRule type="cellIs" priority="2" operator="equal" dxfId="1">
      <formula>"Promotor"</formula>
    </cfRule>
  </conditionalFormatting>
  <dataValidations count="2">
    <dataValidation sqref="C14:C513" showDropDown="0" showInputMessage="0" showErrorMessage="1" allowBlank="1" error="Escribe un número entre 0 y 10." type="whole" operator="between">
      <formula1>0</formula1>
      <formula2>10</formula2>
    </dataValidation>
    <dataValidation sqref="I14:I513" showDropDown="0" showInputMessage="0" showErrorMessage="1" allowBlank="1" errorTitle="Valor no válido" error="Elige una opción de la lista." type="list">
      <formula1>"Sí,No"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0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13" customWidth="1" min="4" max="4"/>
    <col width="13" customWidth="1" min="5" max="5"/>
    <col width="13" customWidth="1" min="6" max="6"/>
    <col width="11" customWidth="1" min="7" max="7"/>
    <col width="30" customWidth="1" min="8" max="8"/>
    <col width="18" customWidth="1" min="9" max="9"/>
    <col width="16" customWidth="1" min="10" max="10"/>
    <col width="18" customWidth="1" min="11" max="11"/>
  </cols>
  <sheetData>
    <row r="1">
      <c r="A1" s="1" t="inlineStr">
        <is>
          <t>CAPÍTULO 8 · MATERIAL PRÁCTICO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4" customHeight="1">
      <c r="A2" s="3" t="inlineStr">
        <is>
          <t>Calendario de renovaciones</t>
        </is>
      </c>
    </row>
    <row r="3">
      <c r="A3" s="4" t="inlineStr">
        <is>
          <t>Que ningún cliente se entere por sorpresa de que su contrato vence</t>
        </is>
      </c>
    </row>
    <row r="5" ht="30" customHeight="1">
      <c r="A5" s="16" t="inlineStr">
        <is>
          <t>Cliente</t>
        </is>
      </c>
      <c r="B5" s="16" t="inlineStr">
        <is>
          <t>Contrato, suscripción o garantía</t>
        </is>
      </c>
      <c r="C5" s="16" t="inlineStr">
        <is>
          <t>Vence el</t>
        </is>
      </c>
      <c r="D5" s="16" t="inlineStr">
        <is>
          <t>Aviso 60 días</t>
        </is>
      </c>
      <c r="E5" s="16" t="inlineStr">
        <is>
          <t>Aviso 30 días</t>
        </is>
      </c>
      <c r="F5" s="16" t="inlineStr">
        <is>
          <t>Aviso 7 días</t>
        </is>
      </c>
      <c r="G5" s="16" t="inlineStr">
        <is>
          <t>Días que faltan</t>
        </is>
      </c>
      <c r="H5" s="16" t="inlineStr">
        <is>
          <t>Próxima acción</t>
        </is>
      </c>
      <c r="I5" s="16" t="inlineStr">
        <is>
          <t>Canal aceptado</t>
        </is>
      </c>
      <c r="J5" s="16" t="inlineStr">
        <is>
          <t>Responsable</t>
        </is>
      </c>
      <c r="K5" s="16" t="inlineStr">
        <is>
          <t>Estado</t>
        </is>
      </c>
    </row>
    <row r="6">
      <c r="A6" s="18" t="n"/>
      <c r="B6" s="18" t="n"/>
      <c r="C6" s="21" t="n"/>
      <c r="D6" s="22">
        <f>IF(C6="","",C6-60)</f>
        <v/>
      </c>
      <c r="E6" s="22">
        <f>IF(C6="","",C6-30)</f>
        <v/>
      </c>
      <c r="F6" s="22">
        <f>IF(C6="","",C6-7)</f>
        <v/>
      </c>
      <c r="G6" s="23">
        <f>IF(C6="","",C6-TODAY())</f>
        <v/>
      </c>
      <c r="H6" s="20">
        <f>IF(OR(C6="",K6="Renovado",K6="No renueva"),"",IF(G6&lt;0,"Vencido: llamar",IF(G6=0,"Hoy vence: llamada personal",IF(G6&lt;=7,"Recordatorio con enlace para renovar",IF(G6&lt;=30,"Enviar propuesta de renovación",IF(G6&lt;=60,"Aviso de vencimiento y resumen","Nada todavía"))))))</f>
        <v/>
      </c>
      <c r="I6" s="18" t="n"/>
      <c r="J6" s="18" t="n"/>
      <c r="K6" s="18" t="n"/>
    </row>
    <row r="7">
      <c r="A7" s="18" t="n"/>
      <c r="B7" s="18" t="n"/>
      <c r="C7" s="21" t="n"/>
      <c r="D7" s="22">
        <f>IF(C7="","",C7-60)</f>
        <v/>
      </c>
      <c r="E7" s="22">
        <f>IF(C7="","",C7-30)</f>
        <v/>
      </c>
      <c r="F7" s="22">
        <f>IF(C7="","",C7-7)</f>
        <v/>
      </c>
      <c r="G7" s="23">
        <f>IF(C7="","",C7-TODAY())</f>
        <v/>
      </c>
      <c r="H7" s="20">
        <f>IF(OR(C7="",K7="Renovado",K7="No renueva"),"",IF(G7&lt;0,"Vencido: llamar",IF(G7=0,"Hoy vence: llamada personal",IF(G7&lt;=7,"Recordatorio con enlace para renovar",IF(G7&lt;=30,"Enviar propuesta de renovación",IF(G7&lt;=60,"Aviso de vencimiento y resumen","Nada todavía"))))))</f>
        <v/>
      </c>
      <c r="I7" s="18" t="n"/>
      <c r="J7" s="18" t="n"/>
      <c r="K7" s="18" t="n"/>
    </row>
    <row r="8">
      <c r="A8" s="18" t="n"/>
      <c r="B8" s="18" t="n"/>
      <c r="C8" s="21" t="n"/>
      <c r="D8" s="22">
        <f>IF(C8="","",C8-60)</f>
        <v/>
      </c>
      <c r="E8" s="22">
        <f>IF(C8="","",C8-30)</f>
        <v/>
      </c>
      <c r="F8" s="22">
        <f>IF(C8="","",C8-7)</f>
        <v/>
      </c>
      <c r="G8" s="23">
        <f>IF(C8="","",C8-TODAY())</f>
        <v/>
      </c>
      <c r="H8" s="20">
        <f>IF(OR(C8="",K8="Renovado",K8="No renueva"),"",IF(G8&lt;0,"Vencido: llamar",IF(G8=0,"Hoy vence: llamada personal",IF(G8&lt;=7,"Recordatorio con enlace para renovar",IF(G8&lt;=30,"Enviar propuesta de renovación",IF(G8&lt;=60,"Aviso de vencimiento y resumen","Nada todavía"))))))</f>
        <v/>
      </c>
      <c r="I8" s="18" t="n"/>
      <c r="J8" s="18" t="n"/>
      <c r="K8" s="18" t="n"/>
    </row>
    <row r="9">
      <c r="A9" s="18" t="n"/>
      <c r="B9" s="18" t="n"/>
      <c r="C9" s="21" t="n"/>
      <c r="D9" s="22">
        <f>IF(C9="","",C9-60)</f>
        <v/>
      </c>
      <c r="E9" s="22">
        <f>IF(C9="","",C9-30)</f>
        <v/>
      </c>
      <c r="F9" s="22">
        <f>IF(C9="","",C9-7)</f>
        <v/>
      </c>
      <c r="G9" s="23">
        <f>IF(C9="","",C9-TODAY())</f>
        <v/>
      </c>
      <c r="H9" s="20">
        <f>IF(OR(C9="",K9="Renovado",K9="No renueva"),"",IF(G9&lt;0,"Vencido: llamar",IF(G9=0,"Hoy vence: llamada personal",IF(G9&lt;=7,"Recordatorio con enlace para renovar",IF(G9&lt;=30,"Enviar propuesta de renovación",IF(G9&lt;=60,"Aviso de vencimiento y resumen","Nada todavía"))))))</f>
        <v/>
      </c>
      <c r="I9" s="18" t="n"/>
      <c r="J9" s="18" t="n"/>
      <c r="K9" s="18" t="n"/>
    </row>
    <row r="10">
      <c r="A10" s="18" t="n"/>
      <c r="B10" s="18" t="n"/>
      <c r="C10" s="21" t="n"/>
      <c r="D10" s="22">
        <f>IF(C10="","",C10-60)</f>
        <v/>
      </c>
      <c r="E10" s="22">
        <f>IF(C10="","",C10-30)</f>
        <v/>
      </c>
      <c r="F10" s="22">
        <f>IF(C10="","",C10-7)</f>
        <v/>
      </c>
      <c r="G10" s="23">
        <f>IF(C10="","",C10-TODAY())</f>
        <v/>
      </c>
      <c r="H10" s="20">
        <f>IF(OR(C10="",K10="Renovado",K10="No renueva"),"",IF(G10&lt;0,"Vencido: llamar",IF(G10=0,"Hoy vence: llamada personal",IF(G10&lt;=7,"Recordatorio con enlace para renovar",IF(G10&lt;=30,"Enviar propuesta de renovación",IF(G10&lt;=60,"Aviso de vencimiento y resumen","Nada todavía"))))))</f>
        <v/>
      </c>
      <c r="I10" s="18" t="n"/>
      <c r="J10" s="18" t="n"/>
      <c r="K10" s="18" t="n"/>
    </row>
    <row r="11">
      <c r="A11" s="18" t="n"/>
      <c r="B11" s="18" t="n"/>
      <c r="C11" s="21" t="n"/>
      <c r="D11" s="22">
        <f>IF(C11="","",C11-60)</f>
        <v/>
      </c>
      <c r="E11" s="22">
        <f>IF(C11="","",C11-30)</f>
        <v/>
      </c>
      <c r="F11" s="22">
        <f>IF(C11="","",C11-7)</f>
        <v/>
      </c>
      <c r="G11" s="23">
        <f>IF(C11="","",C11-TODAY())</f>
        <v/>
      </c>
      <c r="H11" s="20">
        <f>IF(OR(C11="",K11="Renovado",K11="No renueva"),"",IF(G11&lt;0,"Vencido: llamar",IF(G11=0,"Hoy vence: llamada personal",IF(G11&lt;=7,"Recordatorio con enlace para renovar",IF(G11&lt;=30,"Enviar propuesta de renovación",IF(G11&lt;=60,"Aviso de vencimiento y resumen","Nada todavía"))))))</f>
        <v/>
      </c>
      <c r="I11" s="18" t="n"/>
      <c r="J11" s="18" t="n"/>
      <c r="K11" s="18" t="n"/>
    </row>
    <row r="12">
      <c r="A12" s="18" t="n"/>
      <c r="B12" s="18" t="n"/>
      <c r="C12" s="21" t="n"/>
      <c r="D12" s="22">
        <f>IF(C12="","",C12-60)</f>
        <v/>
      </c>
      <c r="E12" s="22">
        <f>IF(C12="","",C12-30)</f>
        <v/>
      </c>
      <c r="F12" s="22">
        <f>IF(C12="","",C12-7)</f>
        <v/>
      </c>
      <c r="G12" s="23">
        <f>IF(C12="","",C12-TODAY())</f>
        <v/>
      </c>
      <c r="H12" s="20">
        <f>IF(OR(C12="",K12="Renovado",K12="No renueva"),"",IF(G12&lt;0,"Vencido: llamar",IF(G12=0,"Hoy vence: llamada personal",IF(G12&lt;=7,"Recordatorio con enlace para renovar",IF(G12&lt;=30,"Enviar propuesta de renovación",IF(G12&lt;=60,"Aviso de vencimiento y resumen","Nada todavía"))))))</f>
        <v/>
      </c>
      <c r="I12" s="18" t="n"/>
      <c r="J12" s="18" t="n"/>
      <c r="K12" s="18" t="n"/>
    </row>
    <row r="13">
      <c r="A13" s="18" t="n"/>
      <c r="B13" s="18" t="n"/>
      <c r="C13" s="21" t="n"/>
      <c r="D13" s="22">
        <f>IF(C13="","",C13-60)</f>
        <v/>
      </c>
      <c r="E13" s="22">
        <f>IF(C13="","",C13-30)</f>
        <v/>
      </c>
      <c r="F13" s="22">
        <f>IF(C13="","",C13-7)</f>
        <v/>
      </c>
      <c r="G13" s="23">
        <f>IF(C13="","",C13-TODAY())</f>
        <v/>
      </c>
      <c r="H13" s="20">
        <f>IF(OR(C13="",K13="Renovado",K13="No renueva"),"",IF(G13&lt;0,"Vencido: llamar",IF(G13=0,"Hoy vence: llamada personal",IF(G13&lt;=7,"Recordatorio con enlace para renovar",IF(G13&lt;=30,"Enviar propuesta de renovación",IF(G13&lt;=60,"Aviso de vencimiento y resumen","Nada todavía"))))))</f>
        <v/>
      </c>
      <c r="I13" s="18" t="n"/>
      <c r="J13" s="18" t="n"/>
      <c r="K13" s="18" t="n"/>
    </row>
    <row r="14">
      <c r="A14" s="18" t="n"/>
      <c r="B14" s="18" t="n"/>
      <c r="C14" s="21" t="n"/>
      <c r="D14" s="22">
        <f>IF(C14="","",C14-60)</f>
        <v/>
      </c>
      <c r="E14" s="22">
        <f>IF(C14="","",C14-30)</f>
        <v/>
      </c>
      <c r="F14" s="22">
        <f>IF(C14="","",C14-7)</f>
        <v/>
      </c>
      <c r="G14" s="23">
        <f>IF(C14="","",C14-TODAY())</f>
        <v/>
      </c>
      <c r="H14" s="20">
        <f>IF(OR(C14="",K14="Renovado",K14="No renueva"),"",IF(G14&lt;0,"Vencido: llamar",IF(G14=0,"Hoy vence: llamada personal",IF(G14&lt;=7,"Recordatorio con enlace para renovar",IF(G14&lt;=30,"Enviar propuesta de renovación",IF(G14&lt;=60,"Aviso de vencimiento y resumen","Nada todavía"))))))</f>
        <v/>
      </c>
      <c r="I14" s="18" t="n"/>
      <c r="J14" s="18" t="n"/>
      <c r="K14" s="18" t="n"/>
    </row>
    <row r="15">
      <c r="A15" s="18" t="n"/>
      <c r="B15" s="18" t="n"/>
      <c r="C15" s="21" t="n"/>
      <c r="D15" s="22">
        <f>IF(C15="","",C15-60)</f>
        <v/>
      </c>
      <c r="E15" s="22">
        <f>IF(C15="","",C15-30)</f>
        <v/>
      </c>
      <c r="F15" s="22">
        <f>IF(C15="","",C15-7)</f>
        <v/>
      </c>
      <c r="G15" s="23">
        <f>IF(C15="","",C15-TODAY())</f>
        <v/>
      </c>
      <c r="H15" s="20">
        <f>IF(OR(C15="",K15="Renovado",K15="No renueva"),"",IF(G15&lt;0,"Vencido: llamar",IF(G15=0,"Hoy vence: llamada personal",IF(G15&lt;=7,"Recordatorio con enlace para renovar",IF(G15&lt;=30,"Enviar propuesta de renovación",IF(G15&lt;=60,"Aviso de vencimiento y resumen","Nada todavía"))))))</f>
        <v/>
      </c>
      <c r="I15" s="18" t="n"/>
      <c r="J15" s="18" t="n"/>
      <c r="K15" s="18" t="n"/>
    </row>
    <row r="16">
      <c r="A16" s="18" t="n"/>
      <c r="B16" s="18" t="n"/>
      <c r="C16" s="21" t="n"/>
      <c r="D16" s="22">
        <f>IF(C16="","",C16-60)</f>
        <v/>
      </c>
      <c r="E16" s="22">
        <f>IF(C16="","",C16-30)</f>
        <v/>
      </c>
      <c r="F16" s="22">
        <f>IF(C16="","",C16-7)</f>
        <v/>
      </c>
      <c r="G16" s="23">
        <f>IF(C16="","",C16-TODAY())</f>
        <v/>
      </c>
      <c r="H16" s="20">
        <f>IF(OR(C16="",K16="Renovado",K16="No renueva"),"",IF(G16&lt;0,"Vencido: llamar",IF(G16=0,"Hoy vence: llamada personal",IF(G16&lt;=7,"Recordatorio con enlace para renovar",IF(G16&lt;=30,"Enviar propuesta de renovación",IF(G16&lt;=60,"Aviso de vencimiento y resumen","Nada todavía"))))))</f>
        <v/>
      </c>
      <c r="I16" s="18" t="n"/>
      <c r="J16" s="18" t="n"/>
      <c r="K16" s="18" t="n"/>
    </row>
    <row r="17">
      <c r="A17" s="18" t="n"/>
      <c r="B17" s="18" t="n"/>
      <c r="C17" s="21" t="n"/>
      <c r="D17" s="22">
        <f>IF(C17="","",C17-60)</f>
        <v/>
      </c>
      <c r="E17" s="22">
        <f>IF(C17="","",C17-30)</f>
        <v/>
      </c>
      <c r="F17" s="22">
        <f>IF(C17="","",C17-7)</f>
        <v/>
      </c>
      <c r="G17" s="23">
        <f>IF(C17="","",C17-TODAY())</f>
        <v/>
      </c>
      <c r="H17" s="20">
        <f>IF(OR(C17="",K17="Renovado",K17="No renueva"),"",IF(G17&lt;0,"Vencido: llamar",IF(G17=0,"Hoy vence: llamada personal",IF(G17&lt;=7,"Recordatorio con enlace para renovar",IF(G17&lt;=30,"Enviar propuesta de renovación",IF(G17&lt;=60,"Aviso de vencimiento y resumen","Nada todavía"))))))</f>
        <v/>
      </c>
      <c r="I17" s="18" t="n"/>
      <c r="J17" s="18" t="n"/>
      <c r="K17" s="18" t="n"/>
    </row>
    <row r="18">
      <c r="A18" s="18" t="n"/>
      <c r="B18" s="18" t="n"/>
      <c r="C18" s="21" t="n"/>
      <c r="D18" s="22">
        <f>IF(C18="","",C18-60)</f>
        <v/>
      </c>
      <c r="E18" s="22">
        <f>IF(C18="","",C18-30)</f>
        <v/>
      </c>
      <c r="F18" s="22">
        <f>IF(C18="","",C18-7)</f>
        <v/>
      </c>
      <c r="G18" s="23">
        <f>IF(C18="","",C18-TODAY())</f>
        <v/>
      </c>
      <c r="H18" s="20">
        <f>IF(OR(C18="",K18="Renovado",K18="No renueva"),"",IF(G18&lt;0,"Vencido: llamar",IF(G18=0,"Hoy vence: llamada personal",IF(G18&lt;=7,"Recordatorio con enlace para renovar",IF(G18&lt;=30,"Enviar propuesta de renovación",IF(G18&lt;=60,"Aviso de vencimiento y resumen","Nada todavía"))))))</f>
        <v/>
      </c>
      <c r="I18" s="18" t="n"/>
      <c r="J18" s="18" t="n"/>
      <c r="K18" s="18" t="n"/>
    </row>
    <row r="19">
      <c r="A19" s="18" t="n"/>
      <c r="B19" s="18" t="n"/>
      <c r="C19" s="21" t="n"/>
      <c r="D19" s="22">
        <f>IF(C19="","",C19-60)</f>
        <v/>
      </c>
      <c r="E19" s="22">
        <f>IF(C19="","",C19-30)</f>
        <v/>
      </c>
      <c r="F19" s="22">
        <f>IF(C19="","",C19-7)</f>
        <v/>
      </c>
      <c r="G19" s="23">
        <f>IF(C19="","",C19-TODAY())</f>
        <v/>
      </c>
      <c r="H19" s="20">
        <f>IF(OR(C19="",K19="Renovado",K19="No renueva"),"",IF(G19&lt;0,"Vencido: llamar",IF(G19=0,"Hoy vence: llamada personal",IF(G19&lt;=7,"Recordatorio con enlace para renovar",IF(G19&lt;=30,"Enviar propuesta de renovación",IF(G19&lt;=60,"Aviso de vencimiento y resumen","Nada todavía"))))))</f>
        <v/>
      </c>
      <c r="I19" s="18" t="n"/>
      <c r="J19" s="18" t="n"/>
      <c r="K19" s="18" t="n"/>
    </row>
    <row r="20">
      <c r="A20" s="18" t="n"/>
      <c r="B20" s="18" t="n"/>
      <c r="C20" s="21" t="n"/>
      <c r="D20" s="22">
        <f>IF(C20="","",C20-60)</f>
        <v/>
      </c>
      <c r="E20" s="22">
        <f>IF(C20="","",C20-30)</f>
        <v/>
      </c>
      <c r="F20" s="22">
        <f>IF(C20="","",C20-7)</f>
        <v/>
      </c>
      <c r="G20" s="23">
        <f>IF(C20="","",C20-TODAY())</f>
        <v/>
      </c>
      <c r="H20" s="20">
        <f>IF(OR(C20="",K20="Renovado",K20="No renueva"),"",IF(G20&lt;0,"Vencido: llamar",IF(G20=0,"Hoy vence: llamada personal",IF(G20&lt;=7,"Recordatorio con enlace para renovar",IF(G20&lt;=30,"Enviar propuesta de renovación",IF(G20&lt;=60,"Aviso de vencimiento y resumen","Nada todavía"))))))</f>
        <v/>
      </c>
      <c r="I20" s="18" t="n"/>
      <c r="J20" s="18" t="n"/>
      <c r="K20" s="18" t="n"/>
    </row>
    <row r="21">
      <c r="A21" s="18" t="n"/>
      <c r="B21" s="18" t="n"/>
      <c r="C21" s="21" t="n"/>
      <c r="D21" s="22">
        <f>IF(C21="","",C21-60)</f>
        <v/>
      </c>
      <c r="E21" s="22">
        <f>IF(C21="","",C21-30)</f>
        <v/>
      </c>
      <c r="F21" s="22">
        <f>IF(C21="","",C21-7)</f>
        <v/>
      </c>
      <c r="G21" s="23">
        <f>IF(C21="","",C21-TODAY())</f>
        <v/>
      </c>
      <c r="H21" s="20">
        <f>IF(OR(C21="",K21="Renovado",K21="No renueva"),"",IF(G21&lt;0,"Vencido: llamar",IF(G21=0,"Hoy vence: llamada personal",IF(G21&lt;=7,"Recordatorio con enlace para renovar",IF(G21&lt;=30,"Enviar propuesta de renovación",IF(G21&lt;=60,"Aviso de vencimiento y resumen","Nada todavía"))))))</f>
        <v/>
      </c>
      <c r="I21" s="18" t="n"/>
      <c r="J21" s="18" t="n"/>
      <c r="K21" s="18" t="n"/>
    </row>
    <row r="22">
      <c r="A22" s="18" t="n"/>
      <c r="B22" s="18" t="n"/>
      <c r="C22" s="21" t="n"/>
      <c r="D22" s="22">
        <f>IF(C22="","",C22-60)</f>
        <v/>
      </c>
      <c r="E22" s="22">
        <f>IF(C22="","",C22-30)</f>
        <v/>
      </c>
      <c r="F22" s="22">
        <f>IF(C22="","",C22-7)</f>
        <v/>
      </c>
      <c r="G22" s="23">
        <f>IF(C22="","",C22-TODAY())</f>
        <v/>
      </c>
      <c r="H22" s="20">
        <f>IF(OR(C22="",K22="Renovado",K22="No renueva"),"",IF(G22&lt;0,"Vencido: llamar",IF(G22=0,"Hoy vence: llamada personal",IF(G22&lt;=7,"Recordatorio con enlace para renovar",IF(G22&lt;=30,"Enviar propuesta de renovación",IF(G22&lt;=60,"Aviso de vencimiento y resumen","Nada todavía"))))))</f>
        <v/>
      </c>
      <c r="I22" s="18" t="n"/>
      <c r="J22" s="18" t="n"/>
      <c r="K22" s="18" t="n"/>
    </row>
    <row r="23">
      <c r="A23" s="18" t="n"/>
      <c r="B23" s="18" t="n"/>
      <c r="C23" s="21" t="n"/>
      <c r="D23" s="22">
        <f>IF(C23="","",C23-60)</f>
        <v/>
      </c>
      <c r="E23" s="22">
        <f>IF(C23="","",C23-30)</f>
        <v/>
      </c>
      <c r="F23" s="22">
        <f>IF(C23="","",C23-7)</f>
        <v/>
      </c>
      <c r="G23" s="23">
        <f>IF(C23="","",C23-TODAY())</f>
        <v/>
      </c>
      <c r="H23" s="20">
        <f>IF(OR(C23="",K23="Renovado",K23="No renueva"),"",IF(G23&lt;0,"Vencido: llamar",IF(G23=0,"Hoy vence: llamada personal",IF(G23&lt;=7,"Recordatorio con enlace para renovar",IF(G23&lt;=30,"Enviar propuesta de renovación",IF(G23&lt;=60,"Aviso de vencimiento y resumen","Nada todavía"))))))</f>
        <v/>
      </c>
      <c r="I23" s="18" t="n"/>
      <c r="J23" s="18" t="n"/>
      <c r="K23" s="18" t="n"/>
    </row>
    <row r="24">
      <c r="A24" s="18" t="n"/>
      <c r="B24" s="18" t="n"/>
      <c r="C24" s="21" t="n"/>
      <c r="D24" s="22">
        <f>IF(C24="","",C24-60)</f>
        <v/>
      </c>
      <c r="E24" s="22">
        <f>IF(C24="","",C24-30)</f>
        <v/>
      </c>
      <c r="F24" s="22">
        <f>IF(C24="","",C24-7)</f>
        <v/>
      </c>
      <c r="G24" s="23">
        <f>IF(C24="","",C24-TODAY())</f>
        <v/>
      </c>
      <c r="H24" s="20">
        <f>IF(OR(C24="",K24="Renovado",K24="No renueva"),"",IF(G24&lt;0,"Vencido: llamar",IF(G24=0,"Hoy vence: llamada personal",IF(G24&lt;=7,"Recordatorio con enlace para renovar",IF(G24&lt;=30,"Enviar propuesta de renovación",IF(G24&lt;=60,"Aviso de vencimiento y resumen","Nada todavía"))))))</f>
        <v/>
      </c>
      <c r="I24" s="18" t="n"/>
      <c r="J24" s="18" t="n"/>
      <c r="K24" s="18" t="n"/>
    </row>
    <row r="25">
      <c r="A25" s="18" t="n"/>
      <c r="B25" s="18" t="n"/>
      <c r="C25" s="21" t="n"/>
      <c r="D25" s="22">
        <f>IF(C25="","",C25-60)</f>
        <v/>
      </c>
      <c r="E25" s="22">
        <f>IF(C25="","",C25-30)</f>
        <v/>
      </c>
      <c r="F25" s="22">
        <f>IF(C25="","",C25-7)</f>
        <v/>
      </c>
      <c r="G25" s="23">
        <f>IF(C25="","",C25-TODAY())</f>
        <v/>
      </c>
      <c r="H25" s="20">
        <f>IF(OR(C25="",K25="Renovado",K25="No renueva"),"",IF(G25&lt;0,"Vencido: llamar",IF(G25=0,"Hoy vence: llamada personal",IF(G25&lt;=7,"Recordatorio con enlace para renovar",IF(G25&lt;=30,"Enviar propuesta de renovación",IF(G25&lt;=60,"Aviso de vencimiento y resumen","Nada todavía"))))))</f>
        <v/>
      </c>
      <c r="I25" s="18" t="n"/>
      <c r="J25" s="18" t="n"/>
      <c r="K25" s="18" t="n"/>
    </row>
    <row r="26">
      <c r="A26" s="18" t="n"/>
      <c r="B26" s="18" t="n"/>
      <c r="C26" s="21" t="n"/>
      <c r="D26" s="22">
        <f>IF(C26="","",C26-60)</f>
        <v/>
      </c>
      <c r="E26" s="22">
        <f>IF(C26="","",C26-30)</f>
        <v/>
      </c>
      <c r="F26" s="22">
        <f>IF(C26="","",C26-7)</f>
        <v/>
      </c>
      <c r="G26" s="23">
        <f>IF(C26="","",C26-TODAY())</f>
        <v/>
      </c>
      <c r="H26" s="20">
        <f>IF(OR(C26="",K26="Renovado",K26="No renueva"),"",IF(G26&lt;0,"Vencido: llamar",IF(G26=0,"Hoy vence: llamada personal",IF(G26&lt;=7,"Recordatorio con enlace para renovar",IF(G26&lt;=30,"Enviar propuesta de renovación",IF(G26&lt;=60,"Aviso de vencimiento y resumen","Nada todavía"))))))</f>
        <v/>
      </c>
      <c r="I26" s="18" t="n"/>
      <c r="J26" s="18" t="n"/>
      <c r="K26" s="18" t="n"/>
    </row>
    <row r="27">
      <c r="A27" s="18" t="n"/>
      <c r="B27" s="18" t="n"/>
      <c r="C27" s="21" t="n"/>
      <c r="D27" s="22">
        <f>IF(C27="","",C27-60)</f>
        <v/>
      </c>
      <c r="E27" s="22">
        <f>IF(C27="","",C27-30)</f>
        <v/>
      </c>
      <c r="F27" s="22">
        <f>IF(C27="","",C27-7)</f>
        <v/>
      </c>
      <c r="G27" s="23">
        <f>IF(C27="","",C27-TODAY())</f>
        <v/>
      </c>
      <c r="H27" s="20">
        <f>IF(OR(C27="",K27="Renovado",K27="No renueva"),"",IF(G27&lt;0,"Vencido: llamar",IF(G27=0,"Hoy vence: llamada personal",IF(G27&lt;=7,"Recordatorio con enlace para renovar",IF(G27&lt;=30,"Enviar propuesta de renovación",IF(G27&lt;=60,"Aviso de vencimiento y resumen","Nada todavía"))))))</f>
        <v/>
      </c>
      <c r="I27" s="18" t="n"/>
      <c r="J27" s="18" t="n"/>
      <c r="K27" s="18" t="n"/>
    </row>
    <row r="28">
      <c r="A28" s="18" t="n"/>
      <c r="B28" s="18" t="n"/>
      <c r="C28" s="21" t="n"/>
      <c r="D28" s="22">
        <f>IF(C28="","",C28-60)</f>
        <v/>
      </c>
      <c r="E28" s="22">
        <f>IF(C28="","",C28-30)</f>
        <v/>
      </c>
      <c r="F28" s="22">
        <f>IF(C28="","",C28-7)</f>
        <v/>
      </c>
      <c r="G28" s="23">
        <f>IF(C28="","",C28-TODAY())</f>
        <v/>
      </c>
      <c r="H28" s="20">
        <f>IF(OR(C28="",K28="Renovado",K28="No renueva"),"",IF(G28&lt;0,"Vencido: llamar",IF(G28=0,"Hoy vence: llamada personal",IF(G28&lt;=7,"Recordatorio con enlace para renovar",IF(G28&lt;=30,"Enviar propuesta de renovación",IF(G28&lt;=60,"Aviso de vencimiento y resumen","Nada todavía"))))))</f>
        <v/>
      </c>
      <c r="I28" s="18" t="n"/>
      <c r="J28" s="18" t="n"/>
      <c r="K28" s="18" t="n"/>
    </row>
    <row r="29">
      <c r="A29" s="18" t="n"/>
      <c r="B29" s="18" t="n"/>
      <c r="C29" s="21" t="n"/>
      <c r="D29" s="22">
        <f>IF(C29="","",C29-60)</f>
        <v/>
      </c>
      <c r="E29" s="22">
        <f>IF(C29="","",C29-30)</f>
        <v/>
      </c>
      <c r="F29" s="22">
        <f>IF(C29="","",C29-7)</f>
        <v/>
      </c>
      <c r="G29" s="23">
        <f>IF(C29="","",C29-TODAY())</f>
        <v/>
      </c>
      <c r="H29" s="20">
        <f>IF(OR(C29="",K29="Renovado",K29="No renueva"),"",IF(G29&lt;0,"Vencido: llamar",IF(G29=0,"Hoy vence: llamada personal",IF(G29&lt;=7,"Recordatorio con enlace para renovar",IF(G29&lt;=30,"Enviar propuesta de renovación",IF(G29&lt;=60,"Aviso de vencimiento y resumen","Nada todavía"))))))</f>
        <v/>
      </c>
      <c r="I29" s="18" t="n"/>
      <c r="J29" s="18" t="n"/>
      <c r="K29" s="18" t="n"/>
    </row>
    <row r="30">
      <c r="A30" s="18" t="n"/>
      <c r="B30" s="18" t="n"/>
      <c r="C30" s="21" t="n"/>
      <c r="D30" s="22">
        <f>IF(C30="","",C30-60)</f>
        <v/>
      </c>
      <c r="E30" s="22">
        <f>IF(C30="","",C30-30)</f>
        <v/>
      </c>
      <c r="F30" s="22">
        <f>IF(C30="","",C30-7)</f>
        <v/>
      </c>
      <c r="G30" s="23">
        <f>IF(C30="","",C30-TODAY())</f>
        <v/>
      </c>
      <c r="H30" s="20">
        <f>IF(OR(C30="",K30="Renovado",K30="No renueva"),"",IF(G30&lt;0,"Vencido: llamar",IF(G30=0,"Hoy vence: llamada personal",IF(G30&lt;=7,"Recordatorio con enlace para renovar",IF(G30&lt;=30,"Enviar propuesta de renovación",IF(G30&lt;=60,"Aviso de vencimiento y resumen","Nada todavía"))))))</f>
        <v/>
      </c>
      <c r="I30" s="18" t="n"/>
      <c r="J30" s="18" t="n"/>
      <c r="K30" s="18" t="n"/>
    </row>
    <row r="31">
      <c r="A31" s="18" t="n"/>
      <c r="B31" s="18" t="n"/>
      <c r="C31" s="21" t="n"/>
      <c r="D31" s="22">
        <f>IF(C31="","",C31-60)</f>
        <v/>
      </c>
      <c r="E31" s="22">
        <f>IF(C31="","",C31-30)</f>
        <v/>
      </c>
      <c r="F31" s="22">
        <f>IF(C31="","",C31-7)</f>
        <v/>
      </c>
      <c r="G31" s="23">
        <f>IF(C31="","",C31-TODAY())</f>
        <v/>
      </c>
      <c r="H31" s="20">
        <f>IF(OR(C31="",K31="Renovado",K31="No renueva"),"",IF(G31&lt;0,"Vencido: llamar",IF(G31=0,"Hoy vence: llamada personal",IF(G31&lt;=7,"Recordatorio con enlace para renovar",IF(G31&lt;=30,"Enviar propuesta de renovación",IF(G31&lt;=60,"Aviso de vencimiento y resumen","Nada todavía"))))))</f>
        <v/>
      </c>
      <c r="I31" s="18" t="n"/>
      <c r="J31" s="18" t="n"/>
      <c r="K31" s="18" t="n"/>
    </row>
    <row r="32">
      <c r="A32" s="18" t="n"/>
      <c r="B32" s="18" t="n"/>
      <c r="C32" s="21" t="n"/>
      <c r="D32" s="22">
        <f>IF(C32="","",C32-60)</f>
        <v/>
      </c>
      <c r="E32" s="22">
        <f>IF(C32="","",C32-30)</f>
        <v/>
      </c>
      <c r="F32" s="22">
        <f>IF(C32="","",C32-7)</f>
        <v/>
      </c>
      <c r="G32" s="23">
        <f>IF(C32="","",C32-TODAY())</f>
        <v/>
      </c>
      <c r="H32" s="20">
        <f>IF(OR(C32="",K32="Renovado",K32="No renueva"),"",IF(G32&lt;0,"Vencido: llamar",IF(G32=0,"Hoy vence: llamada personal",IF(G32&lt;=7,"Recordatorio con enlace para renovar",IF(G32&lt;=30,"Enviar propuesta de renovación",IF(G32&lt;=60,"Aviso de vencimiento y resumen","Nada todavía"))))))</f>
        <v/>
      </c>
      <c r="I32" s="18" t="n"/>
      <c r="J32" s="18" t="n"/>
      <c r="K32" s="18" t="n"/>
    </row>
    <row r="33">
      <c r="A33" s="18" t="n"/>
      <c r="B33" s="18" t="n"/>
      <c r="C33" s="21" t="n"/>
      <c r="D33" s="22">
        <f>IF(C33="","",C33-60)</f>
        <v/>
      </c>
      <c r="E33" s="22">
        <f>IF(C33="","",C33-30)</f>
        <v/>
      </c>
      <c r="F33" s="22">
        <f>IF(C33="","",C33-7)</f>
        <v/>
      </c>
      <c r="G33" s="23">
        <f>IF(C33="","",C33-TODAY())</f>
        <v/>
      </c>
      <c r="H33" s="20">
        <f>IF(OR(C33="",K33="Renovado",K33="No renueva"),"",IF(G33&lt;0,"Vencido: llamar",IF(G33=0,"Hoy vence: llamada personal",IF(G33&lt;=7,"Recordatorio con enlace para renovar",IF(G33&lt;=30,"Enviar propuesta de renovación",IF(G33&lt;=60,"Aviso de vencimiento y resumen","Nada todavía"))))))</f>
        <v/>
      </c>
      <c r="I33" s="18" t="n"/>
      <c r="J33" s="18" t="n"/>
      <c r="K33" s="18" t="n"/>
    </row>
    <row r="34">
      <c r="A34" s="18" t="n"/>
      <c r="B34" s="18" t="n"/>
      <c r="C34" s="21" t="n"/>
      <c r="D34" s="22">
        <f>IF(C34="","",C34-60)</f>
        <v/>
      </c>
      <c r="E34" s="22">
        <f>IF(C34="","",C34-30)</f>
        <v/>
      </c>
      <c r="F34" s="22">
        <f>IF(C34="","",C34-7)</f>
        <v/>
      </c>
      <c r="G34" s="23">
        <f>IF(C34="","",C34-TODAY())</f>
        <v/>
      </c>
      <c r="H34" s="20">
        <f>IF(OR(C34="",K34="Renovado",K34="No renueva"),"",IF(G34&lt;0,"Vencido: llamar",IF(G34=0,"Hoy vence: llamada personal",IF(G34&lt;=7,"Recordatorio con enlace para renovar",IF(G34&lt;=30,"Enviar propuesta de renovación",IF(G34&lt;=60,"Aviso de vencimiento y resumen","Nada todavía"))))))</f>
        <v/>
      </c>
      <c r="I34" s="18" t="n"/>
      <c r="J34" s="18" t="n"/>
      <c r="K34" s="18" t="n"/>
    </row>
    <row r="35">
      <c r="A35" s="18" t="n"/>
      <c r="B35" s="18" t="n"/>
      <c r="C35" s="21" t="n"/>
      <c r="D35" s="22">
        <f>IF(C35="","",C35-60)</f>
        <v/>
      </c>
      <c r="E35" s="22">
        <f>IF(C35="","",C35-30)</f>
        <v/>
      </c>
      <c r="F35" s="22">
        <f>IF(C35="","",C35-7)</f>
        <v/>
      </c>
      <c r="G35" s="23">
        <f>IF(C35="","",C35-TODAY())</f>
        <v/>
      </c>
      <c r="H35" s="20">
        <f>IF(OR(C35="",K35="Renovado",K35="No renueva"),"",IF(G35&lt;0,"Vencido: llamar",IF(G35=0,"Hoy vence: llamada personal",IF(G35&lt;=7,"Recordatorio con enlace para renovar",IF(G35&lt;=30,"Enviar propuesta de renovación",IF(G35&lt;=60,"Aviso de vencimiento y resumen","Nada todavía"))))))</f>
        <v/>
      </c>
      <c r="I35" s="18" t="n"/>
      <c r="J35" s="18" t="n"/>
      <c r="K35" s="18" t="n"/>
    </row>
    <row r="36">
      <c r="A36" s="18" t="n"/>
      <c r="B36" s="18" t="n"/>
      <c r="C36" s="21" t="n"/>
      <c r="D36" s="22">
        <f>IF(C36="","",C36-60)</f>
        <v/>
      </c>
      <c r="E36" s="22">
        <f>IF(C36="","",C36-30)</f>
        <v/>
      </c>
      <c r="F36" s="22">
        <f>IF(C36="","",C36-7)</f>
        <v/>
      </c>
      <c r="G36" s="23">
        <f>IF(C36="","",C36-TODAY())</f>
        <v/>
      </c>
      <c r="H36" s="20">
        <f>IF(OR(C36="",K36="Renovado",K36="No renueva"),"",IF(G36&lt;0,"Vencido: llamar",IF(G36=0,"Hoy vence: llamada personal",IF(G36&lt;=7,"Recordatorio con enlace para renovar",IF(G36&lt;=30,"Enviar propuesta de renovación",IF(G36&lt;=60,"Aviso de vencimiento y resumen","Nada todavía"))))))</f>
        <v/>
      </c>
      <c r="I36" s="18" t="n"/>
      <c r="J36" s="18" t="n"/>
      <c r="K36" s="18" t="n"/>
    </row>
    <row r="37">
      <c r="A37" s="18" t="n"/>
      <c r="B37" s="18" t="n"/>
      <c r="C37" s="21" t="n"/>
      <c r="D37" s="22">
        <f>IF(C37="","",C37-60)</f>
        <v/>
      </c>
      <c r="E37" s="22">
        <f>IF(C37="","",C37-30)</f>
        <v/>
      </c>
      <c r="F37" s="22">
        <f>IF(C37="","",C37-7)</f>
        <v/>
      </c>
      <c r="G37" s="23">
        <f>IF(C37="","",C37-TODAY())</f>
        <v/>
      </c>
      <c r="H37" s="20">
        <f>IF(OR(C37="",K37="Renovado",K37="No renueva"),"",IF(G37&lt;0,"Vencido: llamar",IF(G37=0,"Hoy vence: llamada personal",IF(G37&lt;=7,"Recordatorio con enlace para renovar",IF(G37&lt;=30,"Enviar propuesta de renovación",IF(G37&lt;=60,"Aviso de vencimiento y resumen","Nada todavía"))))))</f>
        <v/>
      </c>
      <c r="I37" s="18" t="n"/>
      <c r="J37" s="18" t="n"/>
      <c r="K37" s="18" t="n"/>
    </row>
    <row r="38">
      <c r="A38" s="18" t="n"/>
      <c r="B38" s="18" t="n"/>
      <c r="C38" s="21" t="n"/>
      <c r="D38" s="22">
        <f>IF(C38="","",C38-60)</f>
        <v/>
      </c>
      <c r="E38" s="22">
        <f>IF(C38="","",C38-30)</f>
        <v/>
      </c>
      <c r="F38" s="22">
        <f>IF(C38="","",C38-7)</f>
        <v/>
      </c>
      <c r="G38" s="23">
        <f>IF(C38="","",C38-TODAY())</f>
        <v/>
      </c>
      <c r="H38" s="20">
        <f>IF(OR(C38="",K38="Renovado",K38="No renueva"),"",IF(G38&lt;0,"Vencido: llamar",IF(G38=0,"Hoy vence: llamada personal",IF(G38&lt;=7,"Recordatorio con enlace para renovar",IF(G38&lt;=30,"Enviar propuesta de renovación",IF(G38&lt;=60,"Aviso de vencimiento y resumen","Nada todavía"))))))</f>
        <v/>
      </c>
      <c r="I38" s="18" t="n"/>
      <c r="J38" s="18" t="n"/>
      <c r="K38" s="18" t="n"/>
    </row>
    <row r="39">
      <c r="A39" s="18" t="n"/>
      <c r="B39" s="18" t="n"/>
      <c r="C39" s="21" t="n"/>
      <c r="D39" s="22">
        <f>IF(C39="","",C39-60)</f>
        <v/>
      </c>
      <c r="E39" s="22">
        <f>IF(C39="","",C39-30)</f>
        <v/>
      </c>
      <c r="F39" s="22">
        <f>IF(C39="","",C39-7)</f>
        <v/>
      </c>
      <c r="G39" s="23">
        <f>IF(C39="","",C39-TODAY())</f>
        <v/>
      </c>
      <c r="H39" s="20">
        <f>IF(OR(C39="",K39="Renovado",K39="No renueva"),"",IF(G39&lt;0,"Vencido: llamar",IF(G39=0,"Hoy vence: llamada personal",IF(G39&lt;=7,"Recordatorio con enlace para renovar",IF(G39&lt;=30,"Enviar propuesta de renovación",IF(G39&lt;=60,"Aviso de vencimiento y resumen","Nada todavía"))))))</f>
        <v/>
      </c>
      <c r="I39" s="18" t="n"/>
      <c r="J39" s="18" t="n"/>
      <c r="K39" s="18" t="n"/>
    </row>
    <row r="40">
      <c r="A40" s="18" t="n"/>
      <c r="B40" s="18" t="n"/>
      <c r="C40" s="21" t="n"/>
      <c r="D40" s="22">
        <f>IF(C40="","",C40-60)</f>
        <v/>
      </c>
      <c r="E40" s="22">
        <f>IF(C40="","",C40-30)</f>
        <v/>
      </c>
      <c r="F40" s="22">
        <f>IF(C40="","",C40-7)</f>
        <v/>
      </c>
      <c r="G40" s="23">
        <f>IF(C40="","",C40-TODAY())</f>
        <v/>
      </c>
      <c r="H40" s="20">
        <f>IF(OR(C40="",K40="Renovado",K40="No renueva"),"",IF(G40&lt;0,"Vencido: llamar",IF(G40=0,"Hoy vence: llamada personal",IF(G40&lt;=7,"Recordatorio con enlace para renovar",IF(G40&lt;=30,"Enviar propuesta de renovación",IF(G40&lt;=60,"Aviso de vencimiento y resumen","Nada todavía"))))))</f>
        <v/>
      </c>
      <c r="I40" s="18" t="n"/>
      <c r="J40" s="18" t="n"/>
      <c r="K40" s="18" t="n"/>
    </row>
    <row r="41">
      <c r="A41" s="18" t="n"/>
      <c r="B41" s="18" t="n"/>
      <c r="C41" s="21" t="n"/>
      <c r="D41" s="22">
        <f>IF(C41="","",C41-60)</f>
        <v/>
      </c>
      <c r="E41" s="22">
        <f>IF(C41="","",C41-30)</f>
        <v/>
      </c>
      <c r="F41" s="22">
        <f>IF(C41="","",C41-7)</f>
        <v/>
      </c>
      <c r="G41" s="23">
        <f>IF(C41="","",C41-TODAY())</f>
        <v/>
      </c>
      <c r="H41" s="20">
        <f>IF(OR(C41="",K41="Renovado",K41="No renueva"),"",IF(G41&lt;0,"Vencido: llamar",IF(G41=0,"Hoy vence: llamada personal",IF(G41&lt;=7,"Recordatorio con enlace para renovar",IF(G41&lt;=30,"Enviar propuesta de renovación",IF(G41&lt;=60,"Aviso de vencimiento y resumen","Nada todavía"))))))</f>
        <v/>
      </c>
      <c r="I41" s="18" t="n"/>
      <c r="J41" s="18" t="n"/>
      <c r="K41" s="18" t="n"/>
    </row>
    <row r="42">
      <c r="A42" s="18" t="n"/>
      <c r="B42" s="18" t="n"/>
      <c r="C42" s="21" t="n"/>
      <c r="D42" s="22">
        <f>IF(C42="","",C42-60)</f>
        <v/>
      </c>
      <c r="E42" s="22">
        <f>IF(C42="","",C42-30)</f>
        <v/>
      </c>
      <c r="F42" s="22">
        <f>IF(C42="","",C42-7)</f>
        <v/>
      </c>
      <c r="G42" s="23">
        <f>IF(C42="","",C42-TODAY())</f>
        <v/>
      </c>
      <c r="H42" s="20">
        <f>IF(OR(C42="",K42="Renovado",K42="No renueva"),"",IF(G42&lt;0,"Vencido: llamar",IF(G42=0,"Hoy vence: llamada personal",IF(G42&lt;=7,"Recordatorio con enlace para renovar",IF(G42&lt;=30,"Enviar propuesta de renovación",IF(G42&lt;=60,"Aviso de vencimiento y resumen","Nada todavía"))))))</f>
        <v/>
      </c>
      <c r="I42" s="18" t="n"/>
      <c r="J42" s="18" t="n"/>
      <c r="K42" s="18" t="n"/>
    </row>
    <row r="43">
      <c r="A43" s="18" t="n"/>
      <c r="B43" s="18" t="n"/>
      <c r="C43" s="21" t="n"/>
      <c r="D43" s="22">
        <f>IF(C43="","",C43-60)</f>
        <v/>
      </c>
      <c r="E43" s="22">
        <f>IF(C43="","",C43-30)</f>
        <v/>
      </c>
      <c r="F43" s="22">
        <f>IF(C43="","",C43-7)</f>
        <v/>
      </c>
      <c r="G43" s="23">
        <f>IF(C43="","",C43-TODAY())</f>
        <v/>
      </c>
      <c r="H43" s="20">
        <f>IF(OR(C43="",K43="Renovado",K43="No renueva"),"",IF(G43&lt;0,"Vencido: llamar",IF(G43=0,"Hoy vence: llamada personal",IF(G43&lt;=7,"Recordatorio con enlace para renovar",IF(G43&lt;=30,"Enviar propuesta de renovación",IF(G43&lt;=60,"Aviso de vencimiento y resumen","Nada todavía"))))))</f>
        <v/>
      </c>
      <c r="I43" s="18" t="n"/>
      <c r="J43" s="18" t="n"/>
      <c r="K43" s="18" t="n"/>
    </row>
    <row r="44">
      <c r="A44" s="18" t="n"/>
      <c r="B44" s="18" t="n"/>
      <c r="C44" s="21" t="n"/>
      <c r="D44" s="22">
        <f>IF(C44="","",C44-60)</f>
        <v/>
      </c>
      <c r="E44" s="22">
        <f>IF(C44="","",C44-30)</f>
        <v/>
      </c>
      <c r="F44" s="22">
        <f>IF(C44="","",C44-7)</f>
        <v/>
      </c>
      <c r="G44" s="23">
        <f>IF(C44="","",C44-TODAY())</f>
        <v/>
      </c>
      <c r="H44" s="20">
        <f>IF(OR(C44="",K44="Renovado",K44="No renueva"),"",IF(G44&lt;0,"Vencido: llamar",IF(G44=0,"Hoy vence: llamada personal",IF(G44&lt;=7,"Recordatorio con enlace para renovar",IF(G44&lt;=30,"Enviar propuesta de renovación",IF(G44&lt;=60,"Aviso de vencimiento y resumen","Nada todavía"))))))</f>
        <v/>
      </c>
      <c r="I44" s="18" t="n"/>
      <c r="J44" s="18" t="n"/>
      <c r="K44" s="18" t="n"/>
    </row>
    <row r="45">
      <c r="A45" s="18" t="n"/>
      <c r="B45" s="18" t="n"/>
      <c r="C45" s="21" t="n"/>
      <c r="D45" s="22">
        <f>IF(C45="","",C45-60)</f>
        <v/>
      </c>
      <c r="E45" s="22">
        <f>IF(C45="","",C45-30)</f>
        <v/>
      </c>
      <c r="F45" s="22">
        <f>IF(C45="","",C45-7)</f>
        <v/>
      </c>
      <c r="G45" s="23">
        <f>IF(C45="","",C45-TODAY())</f>
        <v/>
      </c>
      <c r="H45" s="20">
        <f>IF(OR(C45="",K45="Renovado",K45="No renueva"),"",IF(G45&lt;0,"Vencido: llamar",IF(G45=0,"Hoy vence: llamada personal",IF(G45&lt;=7,"Recordatorio con enlace para renovar",IF(G45&lt;=30,"Enviar propuesta de renovación",IF(G45&lt;=60,"Aviso de vencimiento y resumen","Nada todavía"))))))</f>
        <v/>
      </c>
      <c r="I45" s="18" t="n"/>
      <c r="J45" s="18" t="n"/>
      <c r="K45" s="18" t="n"/>
    </row>
    <row r="46">
      <c r="A46" s="18" t="n"/>
      <c r="B46" s="18" t="n"/>
      <c r="C46" s="21" t="n"/>
      <c r="D46" s="22">
        <f>IF(C46="","",C46-60)</f>
        <v/>
      </c>
      <c r="E46" s="22">
        <f>IF(C46="","",C46-30)</f>
        <v/>
      </c>
      <c r="F46" s="22">
        <f>IF(C46="","",C46-7)</f>
        <v/>
      </c>
      <c r="G46" s="23">
        <f>IF(C46="","",C46-TODAY())</f>
        <v/>
      </c>
      <c r="H46" s="20">
        <f>IF(OR(C46="",K46="Renovado",K46="No renueva"),"",IF(G46&lt;0,"Vencido: llamar",IF(G46=0,"Hoy vence: llamada personal",IF(G46&lt;=7,"Recordatorio con enlace para renovar",IF(G46&lt;=30,"Enviar propuesta de renovación",IF(G46&lt;=60,"Aviso de vencimiento y resumen","Nada todavía"))))))</f>
        <v/>
      </c>
      <c r="I46" s="18" t="n"/>
      <c r="J46" s="18" t="n"/>
      <c r="K46" s="18" t="n"/>
    </row>
    <row r="47">
      <c r="A47" s="18" t="n"/>
      <c r="B47" s="18" t="n"/>
      <c r="C47" s="21" t="n"/>
      <c r="D47" s="22">
        <f>IF(C47="","",C47-60)</f>
        <v/>
      </c>
      <c r="E47" s="22">
        <f>IF(C47="","",C47-30)</f>
        <v/>
      </c>
      <c r="F47" s="22">
        <f>IF(C47="","",C47-7)</f>
        <v/>
      </c>
      <c r="G47" s="23">
        <f>IF(C47="","",C47-TODAY())</f>
        <v/>
      </c>
      <c r="H47" s="20">
        <f>IF(OR(C47="",K47="Renovado",K47="No renueva"),"",IF(G47&lt;0,"Vencido: llamar",IF(G47=0,"Hoy vence: llamada personal",IF(G47&lt;=7,"Recordatorio con enlace para renovar",IF(G47&lt;=30,"Enviar propuesta de renovación",IF(G47&lt;=60,"Aviso de vencimiento y resumen","Nada todavía"))))))</f>
        <v/>
      </c>
      <c r="I47" s="18" t="n"/>
      <c r="J47" s="18" t="n"/>
      <c r="K47" s="18" t="n"/>
    </row>
    <row r="48">
      <c r="A48" s="18" t="n"/>
      <c r="B48" s="18" t="n"/>
      <c r="C48" s="21" t="n"/>
      <c r="D48" s="22">
        <f>IF(C48="","",C48-60)</f>
        <v/>
      </c>
      <c r="E48" s="22">
        <f>IF(C48="","",C48-30)</f>
        <v/>
      </c>
      <c r="F48" s="22">
        <f>IF(C48="","",C48-7)</f>
        <v/>
      </c>
      <c r="G48" s="23">
        <f>IF(C48="","",C48-TODAY())</f>
        <v/>
      </c>
      <c r="H48" s="20">
        <f>IF(OR(C48="",K48="Renovado",K48="No renueva"),"",IF(G48&lt;0,"Vencido: llamar",IF(G48=0,"Hoy vence: llamada personal",IF(G48&lt;=7,"Recordatorio con enlace para renovar",IF(G48&lt;=30,"Enviar propuesta de renovación",IF(G48&lt;=60,"Aviso de vencimiento y resumen","Nada todavía"))))))</f>
        <v/>
      </c>
      <c r="I48" s="18" t="n"/>
      <c r="J48" s="18" t="n"/>
      <c r="K48" s="18" t="n"/>
    </row>
    <row r="49">
      <c r="A49" s="18" t="n"/>
      <c r="B49" s="18" t="n"/>
      <c r="C49" s="21" t="n"/>
      <c r="D49" s="22">
        <f>IF(C49="","",C49-60)</f>
        <v/>
      </c>
      <c r="E49" s="22">
        <f>IF(C49="","",C49-30)</f>
        <v/>
      </c>
      <c r="F49" s="22">
        <f>IF(C49="","",C49-7)</f>
        <v/>
      </c>
      <c r="G49" s="23">
        <f>IF(C49="","",C49-TODAY())</f>
        <v/>
      </c>
      <c r="H49" s="20">
        <f>IF(OR(C49="",K49="Renovado",K49="No renueva"),"",IF(G49&lt;0,"Vencido: llamar",IF(G49=0,"Hoy vence: llamada personal",IF(G49&lt;=7,"Recordatorio con enlace para renovar",IF(G49&lt;=30,"Enviar propuesta de renovación",IF(G49&lt;=60,"Aviso de vencimiento y resumen","Nada todavía"))))))</f>
        <v/>
      </c>
      <c r="I49" s="18" t="n"/>
      <c r="J49" s="18" t="n"/>
      <c r="K49" s="18" t="n"/>
    </row>
    <row r="50">
      <c r="A50" s="18" t="n"/>
      <c r="B50" s="18" t="n"/>
      <c r="C50" s="21" t="n"/>
      <c r="D50" s="22">
        <f>IF(C50="","",C50-60)</f>
        <v/>
      </c>
      <c r="E50" s="22">
        <f>IF(C50="","",C50-30)</f>
        <v/>
      </c>
      <c r="F50" s="22">
        <f>IF(C50="","",C50-7)</f>
        <v/>
      </c>
      <c r="G50" s="23">
        <f>IF(C50="","",C50-TODAY())</f>
        <v/>
      </c>
      <c r="H50" s="20">
        <f>IF(OR(C50="",K50="Renovado",K50="No renueva"),"",IF(G50&lt;0,"Vencido: llamar",IF(G50=0,"Hoy vence: llamada personal",IF(G50&lt;=7,"Recordatorio con enlace para renovar",IF(G50&lt;=30,"Enviar propuesta de renovación",IF(G50&lt;=60,"Aviso de vencimiento y resumen","Nada todavía"))))))</f>
        <v/>
      </c>
      <c r="I50" s="18" t="n"/>
      <c r="J50" s="18" t="n"/>
      <c r="K50" s="18" t="n"/>
    </row>
    <row r="51">
      <c r="A51" s="18" t="n"/>
      <c r="B51" s="18" t="n"/>
      <c r="C51" s="21" t="n"/>
      <c r="D51" s="22">
        <f>IF(C51="","",C51-60)</f>
        <v/>
      </c>
      <c r="E51" s="22">
        <f>IF(C51="","",C51-30)</f>
        <v/>
      </c>
      <c r="F51" s="22">
        <f>IF(C51="","",C51-7)</f>
        <v/>
      </c>
      <c r="G51" s="23">
        <f>IF(C51="","",C51-TODAY())</f>
        <v/>
      </c>
      <c r="H51" s="20">
        <f>IF(OR(C51="",K51="Renovado",K51="No renueva"),"",IF(G51&lt;0,"Vencido: llamar",IF(G51=0,"Hoy vence: llamada personal",IF(G51&lt;=7,"Recordatorio con enlace para renovar",IF(G51&lt;=30,"Enviar propuesta de renovación",IF(G51&lt;=60,"Aviso de vencimiento y resumen","Nada todavía"))))))</f>
        <v/>
      </c>
      <c r="I51" s="18" t="n"/>
      <c r="J51" s="18" t="n"/>
      <c r="K51" s="18" t="n"/>
    </row>
    <row r="52">
      <c r="A52" s="18" t="n"/>
      <c r="B52" s="18" t="n"/>
      <c r="C52" s="21" t="n"/>
      <c r="D52" s="22">
        <f>IF(C52="","",C52-60)</f>
        <v/>
      </c>
      <c r="E52" s="22">
        <f>IF(C52="","",C52-30)</f>
        <v/>
      </c>
      <c r="F52" s="22">
        <f>IF(C52="","",C52-7)</f>
        <v/>
      </c>
      <c r="G52" s="23">
        <f>IF(C52="","",C52-TODAY())</f>
        <v/>
      </c>
      <c r="H52" s="20">
        <f>IF(OR(C52="",K52="Renovado",K52="No renueva"),"",IF(G52&lt;0,"Vencido: llamar",IF(G52=0,"Hoy vence: llamada personal",IF(G52&lt;=7,"Recordatorio con enlace para renovar",IF(G52&lt;=30,"Enviar propuesta de renovación",IF(G52&lt;=60,"Aviso de vencimiento y resumen","Nada todavía"))))))</f>
        <v/>
      </c>
      <c r="I52" s="18" t="n"/>
      <c r="J52" s="18" t="n"/>
      <c r="K52" s="18" t="n"/>
    </row>
    <row r="53">
      <c r="A53" s="18" t="n"/>
      <c r="B53" s="18" t="n"/>
      <c r="C53" s="21" t="n"/>
      <c r="D53" s="22">
        <f>IF(C53="","",C53-60)</f>
        <v/>
      </c>
      <c r="E53" s="22">
        <f>IF(C53="","",C53-30)</f>
        <v/>
      </c>
      <c r="F53" s="22">
        <f>IF(C53="","",C53-7)</f>
        <v/>
      </c>
      <c r="G53" s="23">
        <f>IF(C53="","",C53-TODAY())</f>
        <v/>
      </c>
      <c r="H53" s="20">
        <f>IF(OR(C53="",K53="Renovado",K53="No renueva"),"",IF(G53&lt;0,"Vencido: llamar",IF(G53=0,"Hoy vence: llamada personal",IF(G53&lt;=7,"Recordatorio con enlace para renovar",IF(G53&lt;=30,"Enviar propuesta de renovación",IF(G53&lt;=60,"Aviso de vencimiento y resumen","Nada todavía"))))))</f>
        <v/>
      </c>
      <c r="I53" s="18" t="n"/>
      <c r="J53" s="18" t="n"/>
      <c r="K53" s="18" t="n"/>
    </row>
    <row r="54">
      <c r="A54" s="18" t="n"/>
      <c r="B54" s="18" t="n"/>
      <c r="C54" s="21" t="n"/>
      <c r="D54" s="22">
        <f>IF(C54="","",C54-60)</f>
        <v/>
      </c>
      <c r="E54" s="22">
        <f>IF(C54="","",C54-30)</f>
        <v/>
      </c>
      <c r="F54" s="22">
        <f>IF(C54="","",C54-7)</f>
        <v/>
      </c>
      <c r="G54" s="23">
        <f>IF(C54="","",C54-TODAY())</f>
        <v/>
      </c>
      <c r="H54" s="20">
        <f>IF(OR(C54="",K54="Renovado",K54="No renueva"),"",IF(G54&lt;0,"Vencido: llamar",IF(G54=0,"Hoy vence: llamada personal",IF(G54&lt;=7,"Recordatorio con enlace para renovar",IF(G54&lt;=30,"Enviar propuesta de renovación",IF(G54&lt;=60,"Aviso de vencimiento y resumen","Nada todavía"))))))</f>
        <v/>
      </c>
      <c r="I54" s="18" t="n"/>
      <c r="J54" s="18" t="n"/>
      <c r="K54" s="18" t="n"/>
    </row>
    <row r="55">
      <c r="A55" s="18" t="n"/>
      <c r="B55" s="18" t="n"/>
      <c r="C55" s="21" t="n"/>
      <c r="D55" s="22">
        <f>IF(C55="","",C55-60)</f>
        <v/>
      </c>
      <c r="E55" s="22">
        <f>IF(C55="","",C55-30)</f>
        <v/>
      </c>
      <c r="F55" s="22">
        <f>IF(C55="","",C55-7)</f>
        <v/>
      </c>
      <c r="G55" s="23">
        <f>IF(C55="","",C55-TODAY())</f>
        <v/>
      </c>
      <c r="H55" s="20">
        <f>IF(OR(C55="",K55="Renovado",K55="No renueva"),"",IF(G55&lt;0,"Vencido: llamar",IF(G55=0,"Hoy vence: llamada personal",IF(G55&lt;=7,"Recordatorio con enlace para renovar",IF(G55&lt;=30,"Enviar propuesta de renovación",IF(G55&lt;=60,"Aviso de vencimiento y resumen","Nada todavía"))))))</f>
        <v/>
      </c>
      <c r="I55" s="18" t="n"/>
      <c r="J55" s="18" t="n"/>
      <c r="K55" s="18" t="n"/>
    </row>
    <row r="56">
      <c r="A56" s="18" t="n"/>
      <c r="B56" s="18" t="n"/>
      <c r="C56" s="21" t="n"/>
      <c r="D56" s="22">
        <f>IF(C56="","",C56-60)</f>
        <v/>
      </c>
      <c r="E56" s="22">
        <f>IF(C56="","",C56-30)</f>
        <v/>
      </c>
      <c r="F56" s="22">
        <f>IF(C56="","",C56-7)</f>
        <v/>
      </c>
      <c r="G56" s="23">
        <f>IF(C56="","",C56-TODAY())</f>
        <v/>
      </c>
      <c r="H56" s="20">
        <f>IF(OR(C56="",K56="Renovado",K56="No renueva"),"",IF(G56&lt;0,"Vencido: llamar",IF(G56=0,"Hoy vence: llamada personal",IF(G56&lt;=7,"Recordatorio con enlace para renovar",IF(G56&lt;=30,"Enviar propuesta de renovación",IF(G56&lt;=60,"Aviso de vencimiento y resumen","Nada todavía"))))))</f>
        <v/>
      </c>
      <c r="I56" s="18" t="n"/>
      <c r="J56" s="18" t="n"/>
      <c r="K56" s="18" t="n"/>
    </row>
    <row r="57">
      <c r="A57" s="18" t="n"/>
      <c r="B57" s="18" t="n"/>
      <c r="C57" s="21" t="n"/>
      <c r="D57" s="22">
        <f>IF(C57="","",C57-60)</f>
        <v/>
      </c>
      <c r="E57" s="22">
        <f>IF(C57="","",C57-30)</f>
        <v/>
      </c>
      <c r="F57" s="22">
        <f>IF(C57="","",C57-7)</f>
        <v/>
      </c>
      <c r="G57" s="23">
        <f>IF(C57="","",C57-TODAY())</f>
        <v/>
      </c>
      <c r="H57" s="20">
        <f>IF(OR(C57="",K57="Renovado",K57="No renueva"),"",IF(G57&lt;0,"Vencido: llamar",IF(G57=0,"Hoy vence: llamada personal",IF(G57&lt;=7,"Recordatorio con enlace para renovar",IF(G57&lt;=30,"Enviar propuesta de renovación",IF(G57&lt;=60,"Aviso de vencimiento y resumen","Nada todavía"))))))</f>
        <v/>
      </c>
      <c r="I57" s="18" t="n"/>
      <c r="J57" s="18" t="n"/>
      <c r="K57" s="18" t="n"/>
    </row>
    <row r="58">
      <c r="A58" s="18" t="n"/>
      <c r="B58" s="18" t="n"/>
      <c r="C58" s="21" t="n"/>
      <c r="D58" s="22">
        <f>IF(C58="","",C58-60)</f>
        <v/>
      </c>
      <c r="E58" s="22">
        <f>IF(C58="","",C58-30)</f>
        <v/>
      </c>
      <c r="F58" s="22">
        <f>IF(C58="","",C58-7)</f>
        <v/>
      </c>
      <c r="G58" s="23">
        <f>IF(C58="","",C58-TODAY())</f>
        <v/>
      </c>
      <c r="H58" s="20">
        <f>IF(OR(C58="",K58="Renovado",K58="No renueva"),"",IF(G58&lt;0,"Vencido: llamar",IF(G58=0,"Hoy vence: llamada personal",IF(G58&lt;=7,"Recordatorio con enlace para renovar",IF(G58&lt;=30,"Enviar propuesta de renovación",IF(G58&lt;=60,"Aviso de vencimiento y resumen","Nada todavía"))))))</f>
        <v/>
      </c>
      <c r="I58" s="18" t="n"/>
      <c r="J58" s="18" t="n"/>
      <c r="K58" s="18" t="n"/>
    </row>
    <row r="59">
      <c r="A59" s="18" t="n"/>
      <c r="B59" s="18" t="n"/>
      <c r="C59" s="21" t="n"/>
      <c r="D59" s="22">
        <f>IF(C59="","",C59-60)</f>
        <v/>
      </c>
      <c r="E59" s="22">
        <f>IF(C59="","",C59-30)</f>
        <v/>
      </c>
      <c r="F59" s="22">
        <f>IF(C59="","",C59-7)</f>
        <v/>
      </c>
      <c r="G59" s="23">
        <f>IF(C59="","",C59-TODAY())</f>
        <v/>
      </c>
      <c r="H59" s="20">
        <f>IF(OR(C59="",K59="Renovado",K59="No renueva"),"",IF(G59&lt;0,"Vencido: llamar",IF(G59=0,"Hoy vence: llamada personal",IF(G59&lt;=7,"Recordatorio con enlace para renovar",IF(G59&lt;=30,"Enviar propuesta de renovación",IF(G59&lt;=60,"Aviso de vencimiento y resumen","Nada todavía"))))))</f>
        <v/>
      </c>
      <c r="I59" s="18" t="n"/>
      <c r="J59" s="18" t="n"/>
      <c r="K59" s="18" t="n"/>
    </row>
    <row r="60">
      <c r="A60" s="18" t="n"/>
      <c r="B60" s="18" t="n"/>
      <c r="C60" s="21" t="n"/>
      <c r="D60" s="22">
        <f>IF(C60="","",C60-60)</f>
        <v/>
      </c>
      <c r="E60" s="22">
        <f>IF(C60="","",C60-30)</f>
        <v/>
      </c>
      <c r="F60" s="22">
        <f>IF(C60="","",C60-7)</f>
        <v/>
      </c>
      <c r="G60" s="23">
        <f>IF(C60="","",C60-TODAY())</f>
        <v/>
      </c>
      <c r="H60" s="20">
        <f>IF(OR(C60="",K60="Renovado",K60="No renueva"),"",IF(G60&lt;0,"Vencido: llamar",IF(G60=0,"Hoy vence: llamada personal",IF(G60&lt;=7,"Recordatorio con enlace para renovar",IF(G60&lt;=30,"Enviar propuesta de renovación",IF(G60&lt;=60,"Aviso de vencimiento y resumen","Nada todavía"))))))</f>
        <v/>
      </c>
      <c r="I60" s="18" t="n"/>
      <c r="J60" s="18" t="n"/>
      <c r="K60" s="18" t="n"/>
    </row>
    <row r="61">
      <c r="A61" s="18" t="n"/>
      <c r="B61" s="18" t="n"/>
      <c r="C61" s="21" t="n"/>
      <c r="D61" s="22">
        <f>IF(C61="","",C61-60)</f>
        <v/>
      </c>
      <c r="E61" s="22">
        <f>IF(C61="","",C61-30)</f>
        <v/>
      </c>
      <c r="F61" s="22">
        <f>IF(C61="","",C61-7)</f>
        <v/>
      </c>
      <c r="G61" s="23">
        <f>IF(C61="","",C61-TODAY())</f>
        <v/>
      </c>
      <c r="H61" s="20">
        <f>IF(OR(C61="",K61="Renovado",K61="No renueva"),"",IF(G61&lt;0,"Vencido: llamar",IF(G61=0,"Hoy vence: llamada personal",IF(G61&lt;=7,"Recordatorio con enlace para renovar",IF(G61&lt;=30,"Enviar propuesta de renovación",IF(G61&lt;=60,"Aviso de vencimiento y resumen","Nada todavía"))))))</f>
        <v/>
      </c>
      <c r="I61" s="18" t="n"/>
      <c r="J61" s="18" t="n"/>
      <c r="K61" s="18" t="n"/>
    </row>
    <row r="62">
      <c r="A62" s="18" t="n"/>
      <c r="B62" s="18" t="n"/>
      <c r="C62" s="21" t="n"/>
      <c r="D62" s="22">
        <f>IF(C62="","",C62-60)</f>
        <v/>
      </c>
      <c r="E62" s="22">
        <f>IF(C62="","",C62-30)</f>
        <v/>
      </c>
      <c r="F62" s="22">
        <f>IF(C62="","",C62-7)</f>
        <v/>
      </c>
      <c r="G62" s="23">
        <f>IF(C62="","",C62-TODAY())</f>
        <v/>
      </c>
      <c r="H62" s="20">
        <f>IF(OR(C62="",K62="Renovado",K62="No renueva"),"",IF(G62&lt;0,"Vencido: llamar",IF(G62=0,"Hoy vence: llamada personal",IF(G62&lt;=7,"Recordatorio con enlace para renovar",IF(G62&lt;=30,"Enviar propuesta de renovación",IF(G62&lt;=60,"Aviso de vencimiento y resumen","Nada todavía"))))))</f>
        <v/>
      </c>
      <c r="I62" s="18" t="n"/>
      <c r="J62" s="18" t="n"/>
      <c r="K62" s="18" t="n"/>
    </row>
    <row r="63">
      <c r="A63" s="18" t="n"/>
      <c r="B63" s="18" t="n"/>
      <c r="C63" s="21" t="n"/>
      <c r="D63" s="22">
        <f>IF(C63="","",C63-60)</f>
        <v/>
      </c>
      <c r="E63" s="22">
        <f>IF(C63="","",C63-30)</f>
        <v/>
      </c>
      <c r="F63" s="22">
        <f>IF(C63="","",C63-7)</f>
        <v/>
      </c>
      <c r="G63" s="23">
        <f>IF(C63="","",C63-TODAY())</f>
        <v/>
      </c>
      <c r="H63" s="20">
        <f>IF(OR(C63="",K63="Renovado",K63="No renueva"),"",IF(G63&lt;0,"Vencido: llamar",IF(G63=0,"Hoy vence: llamada personal",IF(G63&lt;=7,"Recordatorio con enlace para renovar",IF(G63&lt;=30,"Enviar propuesta de renovación",IF(G63&lt;=60,"Aviso de vencimiento y resumen","Nada todavía"))))))</f>
        <v/>
      </c>
      <c r="I63" s="18" t="n"/>
      <c r="J63" s="18" t="n"/>
      <c r="K63" s="18" t="n"/>
    </row>
    <row r="64">
      <c r="A64" s="18" t="n"/>
      <c r="B64" s="18" t="n"/>
      <c r="C64" s="21" t="n"/>
      <c r="D64" s="22">
        <f>IF(C64="","",C64-60)</f>
        <v/>
      </c>
      <c r="E64" s="22">
        <f>IF(C64="","",C64-30)</f>
        <v/>
      </c>
      <c r="F64" s="22">
        <f>IF(C64="","",C64-7)</f>
        <v/>
      </c>
      <c r="G64" s="23">
        <f>IF(C64="","",C64-TODAY())</f>
        <v/>
      </c>
      <c r="H64" s="20">
        <f>IF(OR(C64="",K64="Renovado",K64="No renueva"),"",IF(G64&lt;0,"Vencido: llamar",IF(G64=0,"Hoy vence: llamada personal",IF(G64&lt;=7,"Recordatorio con enlace para renovar",IF(G64&lt;=30,"Enviar propuesta de renovación",IF(G64&lt;=60,"Aviso de vencimiento y resumen","Nada todavía"))))))</f>
        <v/>
      </c>
      <c r="I64" s="18" t="n"/>
      <c r="J64" s="18" t="n"/>
      <c r="K64" s="18" t="n"/>
    </row>
    <row r="65">
      <c r="A65" s="18" t="n"/>
      <c r="B65" s="18" t="n"/>
      <c r="C65" s="21" t="n"/>
      <c r="D65" s="22">
        <f>IF(C65="","",C65-60)</f>
        <v/>
      </c>
      <c r="E65" s="22">
        <f>IF(C65="","",C65-30)</f>
        <v/>
      </c>
      <c r="F65" s="22">
        <f>IF(C65="","",C65-7)</f>
        <v/>
      </c>
      <c r="G65" s="23">
        <f>IF(C65="","",C65-TODAY())</f>
        <v/>
      </c>
      <c r="H65" s="20">
        <f>IF(OR(C65="",K65="Renovado",K65="No renueva"),"",IF(G65&lt;0,"Vencido: llamar",IF(G65=0,"Hoy vence: llamada personal",IF(G65&lt;=7,"Recordatorio con enlace para renovar",IF(G65&lt;=30,"Enviar propuesta de renovación",IF(G65&lt;=60,"Aviso de vencimiento y resumen","Nada todavía"))))))</f>
        <v/>
      </c>
      <c r="I65" s="18" t="n"/>
      <c r="J65" s="18" t="n"/>
      <c r="K65" s="18" t="n"/>
    </row>
    <row r="66">
      <c r="A66" s="18" t="n"/>
      <c r="B66" s="18" t="n"/>
      <c r="C66" s="21" t="n"/>
      <c r="D66" s="22">
        <f>IF(C66="","",C66-60)</f>
        <v/>
      </c>
      <c r="E66" s="22">
        <f>IF(C66="","",C66-30)</f>
        <v/>
      </c>
      <c r="F66" s="22">
        <f>IF(C66="","",C66-7)</f>
        <v/>
      </c>
      <c r="G66" s="23">
        <f>IF(C66="","",C66-TODAY())</f>
        <v/>
      </c>
      <c r="H66" s="20">
        <f>IF(OR(C66="",K66="Renovado",K66="No renueva"),"",IF(G66&lt;0,"Vencido: llamar",IF(G66=0,"Hoy vence: llamada personal",IF(G66&lt;=7,"Recordatorio con enlace para renovar",IF(G66&lt;=30,"Enviar propuesta de renovación",IF(G66&lt;=60,"Aviso de vencimiento y resumen","Nada todavía"))))))</f>
        <v/>
      </c>
      <c r="I66" s="18" t="n"/>
      <c r="J66" s="18" t="n"/>
      <c r="K66" s="18" t="n"/>
    </row>
    <row r="67">
      <c r="A67" s="18" t="n"/>
      <c r="B67" s="18" t="n"/>
      <c r="C67" s="21" t="n"/>
      <c r="D67" s="22">
        <f>IF(C67="","",C67-60)</f>
        <v/>
      </c>
      <c r="E67" s="22">
        <f>IF(C67="","",C67-30)</f>
        <v/>
      </c>
      <c r="F67" s="22">
        <f>IF(C67="","",C67-7)</f>
        <v/>
      </c>
      <c r="G67" s="23">
        <f>IF(C67="","",C67-TODAY())</f>
        <v/>
      </c>
      <c r="H67" s="20">
        <f>IF(OR(C67="",K67="Renovado",K67="No renueva"),"",IF(G67&lt;0,"Vencido: llamar",IF(G67=0,"Hoy vence: llamada personal",IF(G67&lt;=7,"Recordatorio con enlace para renovar",IF(G67&lt;=30,"Enviar propuesta de renovación",IF(G67&lt;=60,"Aviso de vencimiento y resumen","Nada todavía"))))))</f>
        <v/>
      </c>
      <c r="I67" s="18" t="n"/>
      <c r="J67" s="18" t="n"/>
      <c r="K67" s="18" t="n"/>
    </row>
    <row r="68">
      <c r="A68" s="18" t="n"/>
      <c r="B68" s="18" t="n"/>
      <c r="C68" s="21" t="n"/>
      <c r="D68" s="22">
        <f>IF(C68="","",C68-60)</f>
        <v/>
      </c>
      <c r="E68" s="22">
        <f>IF(C68="","",C68-30)</f>
        <v/>
      </c>
      <c r="F68" s="22">
        <f>IF(C68="","",C68-7)</f>
        <v/>
      </c>
      <c r="G68" s="23">
        <f>IF(C68="","",C68-TODAY())</f>
        <v/>
      </c>
      <c r="H68" s="20">
        <f>IF(OR(C68="",K68="Renovado",K68="No renueva"),"",IF(G68&lt;0,"Vencido: llamar",IF(G68=0,"Hoy vence: llamada personal",IF(G68&lt;=7,"Recordatorio con enlace para renovar",IF(G68&lt;=30,"Enviar propuesta de renovación",IF(G68&lt;=60,"Aviso de vencimiento y resumen","Nada todavía"))))))</f>
        <v/>
      </c>
      <c r="I68" s="18" t="n"/>
      <c r="J68" s="18" t="n"/>
      <c r="K68" s="18" t="n"/>
    </row>
    <row r="69">
      <c r="A69" s="18" t="n"/>
      <c r="B69" s="18" t="n"/>
      <c r="C69" s="21" t="n"/>
      <c r="D69" s="22">
        <f>IF(C69="","",C69-60)</f>
        <v/>
      </c>
      <c r="E69" s="22">
        <f>IF(C69="","",C69-30)</f>
        <v/>
      </c>
      <c r="F69" s="22">
        <f>IF(C69="","",C69-7)</f>
        <v/>
      </c>
      <c r="G69" s="23">
        <f>IF(C69="","",C69-TODAY())</f>
        <v/>
      </c>
      <c r="H69" s="20">
        <f>IF(OR(C69="",K69="Renovado",K69="No renueva"),"",IF(G69&lt;0,"Vencido: llamar",IF(G69=0,"Hoy vence: llamada personal",IF(G69&lt;=7,"Recordatorio con enlace para renovar",IF(G69&lt;=30,"Enviar propuesta de renovación",IF(G69&lt;=60,"Aviso de vencimiento y resumen","Nada todavía"))))))</f>
        <v/>
      </c>
      <c r="I69" s="18" t="n"/>
      <c r="J69" s="18" t="n"/>
      <c r="K69" s="18" t="n"/>
    </row>
    <row r="70">
      <c r="A70" s="18" t="n"/>
      <c r="B70" s="18" t="n"/>
      <c r="C70" s="21" t="n"/>
      <c r="D70" s="22">
        <f>IF(C70="","",C70-60)</f>
        <v/>
      </c>
      <c r="E70" s="22">
        <f>IF(C70="","",C70-30)</f>
        <v/>
      </c>
      <c r="F70" s="22">
        <f>IF(C70="","",C70-7)</f>
        <v/>
      </c>
      <c r="G70" s="23">
        <f>IF(C70="","",C70-TODAY())</f>
        <v/>
      </c>
      <c r="H70" s="20">
        <f>IF(OR(C70="",K70="Renovado",K70="No renueva"),"",IF(G70&lt;0,"Vencido: llamar",IF(G70=0,"Hoy vence: llamada personal",IF(G70&lt;=7,"Recordatorio con enlace para renovar",IF(G70&lt;=30,"Enviar propuesta de renovación",IF(G70&lt;=60,"Aviso de vencimiento y resumen","Nada todavía"))))))</f>
        <v/>
      </c>
      <c r="I70" s="18" t="n"/>
      <c r="J70" s="18" t="n"/>
      <c r="K70" s="18" t="n"/>
    </row>
    <row r="71">
      <c r="A71" s="18" t="n"/>
      <c r="B71" s="18" t="n"/>
      <c r="C71" s="21" t="n"/>
      <c r="D71" s="22">
        <f>IF(C71="","",C71-60)</f>
        <v/>
      </c>
      <c r="E71" s="22">
        <f>IF(C71="","",C71-30)</f>
        <v/>
      </c>
      <c r="F71" s="22">
        <f>IF(C71="","",C71-7)</f>
        <v/>
      </c>
      <c r="G71" s="23">
        <f>IF(C71="","",C71-TODAY())</f>
        <v/>
      </c>
      <c r="H71" s="20">
        <f>IF(OR(C71="",K71="Renovado",K71="No renueva"),"",IF(G71&lt;0,"Vencido: llamar",IF(G71=0,"Hoy vence: llamada personal",IF(G71&lt;=7,"Recordatorio con enlace para renovar",IF(G71&lt;=30,"Enviar propuesta de renovación",IF(G71&lt;=60,"Aviso de vencimiento y resumen","Nada todavía"))))))</f>
        <v/>
      </c>
      <c r="I71" s="18" t="n"/>
      <c r="J71" s="18" t="n"/>
      <c r="K71" s="18" t="n"/>
    </row>
    <row r="72">
      <c r="A72" s="18" t="n"/>
      <c r="B72" s="18" t="n"/>
      <c r="C72" s="21" t="n"/>
      <c r="D72" s="22">
        <f>IF(C72="","",C72-60)</f>
        <v/>
      </c>
      <c r="E72" s="22">
        <f>IF(C72="","",C72-30)</f>
        <v/>
      </c>
      <c r="F72" s="22">
        <f>IF(C72="","",C72-7)</f>
        <v/>
      </c>
      <c r="G72" s="23">
        <f>IF(C72="","",C72-TODAY())</f>
        <v/>
      </c>
      <c r="H72" s="20">
        <f>IF(OR(C72="",K72="Renovado",K72="No renueva"),"",IF(G72&lt;0,"Vencido: llamar",IF(G72=0,"Hoy vence: llamada personal",IF(G72&lt;=7,"Recordatorio con enlace para renovar",IF(G72&lt;=30,"Enviar propuesta de renovación",IF(G72&lt;=60,"Aviso de vencimiento y resumen","Nada todavía"))))))</f>
        <v/>
      </c>
      <c r="I72" s="18" t="n"/>
      <c r="J72" s="18" t="n"/>
      <c r="K72" s="18" t="n"/>
    </row>
    <row r="73">
      <c r="A73" s="18" t="n"/>
      <c r="B73" s="18" t="n"/>
      <c r="C73" s="21" t="n"/>
      <c r="D73" s="22">
        <f>IF(C73="","",C73-60)</f>
        <v/>
      </c>
      <c r="E73" s="22">
        <f>IF(C73="","",C73-30)</f>
        <v/>
      </c>
      <c r="F73" s="22">
        <f>IF(C73="","",C73-7)</f>
        <v/>
      </c>
      <c r="G73" s="23">
        <f>IF(C73="","",C73-TODAY())</f>
        <v/>
      </c>
      <c r="H73" s="20">
        <f>IF(OR(C73="",K73="Renovado",K73="No renueva"),"",IF(G73&lt;0,"Vencido: llamar",IF(G73=0,"Hoy vence: llamada personal",IF(G73&lt;=7,"Recordatorio con enlace para renovar",IF(G73&lt;=30,"Enviar propuesta de renovación",IF(G73&lt;=60,"Aviso de vencimiento y resumen","Nada todavía"))))))</f>
        <v/>
      </c>
      <c r="I73" s="18" t="n"/>
      <c r="J73" s="18" t="n"/>
      <c r="K73" s="18" t="n"/>
    </row>
    <row r="74">
      <c r="A74" s="18" t="n"/>
      <c r="B74" s="18" t="n"/>
      <c r="C74" s="21" t="n"/>
      <c r="D74" s="22">
        <f>IF(C74="","",C74-60)</f>
        <v/>
      </c>
      <c r="E74" s="22">
        <f>IF(C74="","",C74-30)</f>
        <v/>
      </c>
      <c r="F74" s="22">
        <f>IF(C74="","",C74-7)</f>
        <v/>
      </c>
      <c r="G74" s="23">
        <f>IF(C74="","",C74-TODAY())</f>
        <v/>
      </c>
      <c r="H74" s="20">
        <f>IF(OR(C74="",K74="Renovado",K74="No renueva"),"",IF(G74&lt;0,"Vencido: llamar",IF(G74=0,"Hoy vence: llamada personal",IF(G74&lt;=7,"Recordatorio con enlace para renovar",IF(G74&lt;=30,"Enviar propuesta de renovación",IF(G74&lt;=60,"Aviso de vencimiento y resumen","Nada todavía"))))))</f>
        <v/>
      </c>
      <c r="I74" s="18" t="n"/>
      <c r="J74" s="18" t="n"/>
      <c r="K74" s="18" t="n"/>
    </row>
    <row r="75">
      <c r="A75" s="18" t="n"/>
      <c r="B75" s="18" t="n"/>
      <c r="C75" s="21" t="n"/>
      <c r="D75" s="22">
        <f>IF(C75="","",C75-60)</f>
        <v/>
      </c>
      <c r="E75" s="22">
        <f>IF(C75="","",C75-30)</f>
        <v/>
      </c>
      <c r="F75" s="22">
        <f>IF(C75="","",C75-7)</f>
        <v/>
      </c>
      <c r="G75" s="23">
        <f>IF(C75="","",C75-TODAY())</f>
        <v/>
      </c>
      <c r="H75" s="20">
        <f>IF(OR(C75="",K75="Renovado",K75="No renueva"),"",IF(G75&lt;0,"Vencido: llamar",IF(G75=0,"Hoy vence: llamada personal",IF(G75&lt;=7,"Recordatorio con enlace para renovar",IF(G75&lt;=30,"Enviar propuesta de renovación",IF(G75&lt;=60,"Aviso de vencimiento y resumen","Nada todavía"))))))</f>
        <v/>
      </c>
      <c r="I75" s="18" t="n"/>
      <c r="J75" s="18" t="n"/>
      <c r="K75" s="18" t="n"/>
    </row>
    <row r="76">
      <c r="A76" s="18" t="n"/>
      <c r="B76" s="18" t="n"/>
      <c r="C76" s="21" t="n"/>
      <c r="D76" s="22">
        <f>IF(C76="","",C76-60)</f>
        <v/>
      </c>
      <c r="E76" s="22">
        <f>IF(C76="","",C76-30)</f>
        <v/>
      </c>
      <c r="F76" s="22">
        <f>IF(C76="","",C76-7)</f>
        <v/>
      </c>
      <c r="G76" s="23">
        <f>IF(C76="","",C76-TODAY())</f>
        <v/>
      </c>
      <c r="H76" s="20">
        <f>IF(OR(C76="",K76="Renovado",K76="No renueva"),"",IF(G76&lt;0,"Vencido: llamar",IF(G76=0,"Hoy vence: llamada personal",IF(G76&lt;=7,"Recordatorio con enlace para renovar",IF(G76&lt;=30,"Enviar propuesta de renovación",IF(G76&lt;=60,"Aviso de vencimiento y resumen","Nada todavía"))))))</f>
        <v/>
      </c>
      <c r="I76" s="18" t="n"/>
      <c r="J76" s="18" t="n"/>
      <c r="K76" s="18" t="n"/>
    </row>
    <row r="77">
      <c r="A77" s="18" t="n"/>
      <c r="B77" s="18" t="n"/>
      <c r="C77" s="21" t="n"/>
      <c r="D77" s="22">
        <f>IF(C77="","",C77-60)</f>
        <v/>
      </c>
      <c r="E77" s="22">
        <f>IF(C77="","",C77-30)</f>
        <v/>
      </c>
      <c r="F77" s="22">
        <f>IF(C77="","",C77-7)</f>
        <v/>
      </c>
      <c r="G77" s="23">
        <f>IF(C77="","",C77-TODAY())</f>
        <v/>
      </c>
      <c r="H77" s="20">
        <f>IF(OR(C77="",K77="Renovado",K77="No renueva"),"",IF(G77&lt;0,"Vencido: llamar",IF(G77=0,"Hoy vence: llamada personal",IF(G77&lt;=7,"Recordatorio con enlace para renovar",IF(G77&lt;=30,"Enviar propuesta de renovación",IF(G77&lt;=60,"Aviso de vencimiento y resumen","Nada todavía"))))))</f>
        <v/>
      </c>
      <c r="I77" s="18" t="n"/>
      <c r="J77" s="18" t="n"/>
      <c r="K77" s="18" t="n"/>
    </row>
    <row r="78">
      <c r="A78" s="18" t="n"/>
      <c r="B78" s="18" t="n"/>
      <c r="C78" s="21" t="n"/>
      <c r="D78" s="22">
        <f>IF(C78="","",C78-60)</f>
        <v/>
      </c>
      <c r="E78" s="22">
        <f>IF(C78="","",C78-30)</f>
        <v/>
      </c>
      <c r="F78" s="22">
        <f>IF(C78="","",C78-7)</f>
        <v/>
      </c>
      <c r="G78" s="23">
        <f>IF(C78="","",C78-TODAY())</f>
        <v/>
      </c>
      <c r="H78" s="20">
        <f>IF(OR(C78="",K78="Renovado",K78="No renueva"),"",IF(G78&lt;0,"Vencido: llamar",IF(G78=0,"Hoy vence: llamada personal",IF(G78&lt;=7,"Recordatorio con enlace para renovar",IF(G78&lt;=30,"Enviar propuesta de renovación",IF(G78&lt;=60,"Aviso de vencimiento y resumen","Nada todavía"))))))</f>
        <v/>
      </c>
      <c r="I78" s="18" t="n"/>
      <c r="J78" s="18" t="n"/>
      <c r="K78" s="18" t="n"/>
    </row>
    <row r="79">
      <c r="A79" s="18" t="n"/>
      <c r="B79" s="18" t="n"/>
      <c r="C79" s="21" t="n"/>
      <c r="D79" s="22">
        <f>IF(C79="","",C79-60)</f>
        <v/>
      </c>
      <c r="E79" s="22">
        <f>IF(C79="","",C79-30)</f>
        <v/>
      </c>
      <c r="F79" s="22">
        <f>IF(C79="","",C79-7)</f>
        <v/>
      </c>
      <c r="G79" s="23">
        <f>IF(C79="","",C79-TODAY())</f>
        <v/>
      </c>
      <c r="H79" s="20">
        <f>IF(OR(C79="",K79="Renovado",K79="No renueva"),"",IF(G79&lt;0,"Vencido: llamar",IF(G79=0,"Hoy vence: llamada personal",IF(G79&lt;=7,"Recordatorio con enlace para renovar",IF(G79&lt;=30,"Enviar propuesta de renovación",IF(G79&lt;=60,"Aviso de vencimiento y resumen","Nada todavía"))))))</f>
        <v/>
      </c>
      <c r="I79" s="18" t="n"/>
      <c r="J79" s="18" t="n"/>
      <c r="K79" s="18" t="n"/>
    </row>
    <row r="80">
      <c r="A80" s="18" t="n"/>
      <c r="B80" s="18" t="n"/>
      <c r="C80" s="21" t="n"/>
      <c r="D80" s="22">
        <f>IF(C80="","",C80-60)</f>
        <v/>
      </c>
      <c r="E80" s="22">
        <f>IF(C80="","",C80-30)</f>
        <v/>
      </c>
      <c r="F80" s="22">
        <f>IF(C80="","",C80-7)</f>
        <v/>
      </c>
      <c r="G80" s="23">
        <f>IF(C80="","",C80-TODAY())</f>
        <v/>
      </c>
      <c r="H80" s="20">
        <f>IF(OR(C80="",K80="Renovado",K80="No renueva"),"",IF(G80&lt;0,"Vencido: llamar",IF(G80=0,"Hoy vence: llamada personal",IF(G80&lt;=7,"Recordatorio con enlace para renovar",IF(G80&lt;=30,"Enviar propuesta de renovación",IF(G80&lt;=60,"Aviso de vencimiento y resumen","Nada todavía"))))))</f>
        <v/>
      </c>
      <c r="I80" s="18" t="n"/>
      <c r="J80" s="18" t="n"/>
      <c r="K80" s="18" t="n"/>
    </row>
    <row r="81">
      <c r="A81" s="18" t="n"/>
      <c r="B81" s="18" t="n"/>
      <c r="C81" s="21" t="n"/>
      <c r="D81" s="22">
        <f>IF(C81="","",C81-60)</f>
        <v/>
      </c>
      <c r="E81" s="22">
        <f>IF(C81="","",C81-30)</f>
        <v/>
      </c>
      <c r="F81" s="22">
        <f>IF(C81="","",C81-7)</f>
        <v/>
      </c>
      <c r="G81" s="23">
        <f>IF(C81="","",C81-TODAY())</f>
        <v/>
      </c>
      <c r="H81" s="20">
        <f>IF(OR(C81="",K81="Renovado",K81="No renueva"),"",IF(G81&lt;0,"Vencido: llamar",IF(G81=0,"Hoy vence: llamada personal",IF(G81&lt;=7,"Recordatorio con enlace para renovar",IF(G81&lt;=30,"Enviar propuesta de renovación",IF(G81&lt;=60,"Aviso de vencimiento y resumen","Nada todavía"))))))</f>
        <v/>
      </c>
      <c r="I81" s="18" t="n"/>
      <c r="J81" s="18" t="n"/>
      <c r="K81" s="18" t="n"/>
    </row>
    <row r="82">
      <c r="A82" s="18" t="n"/>
      <c r="B82" s="18" t="n"/>
      <c r="C82" s="21" t="n"/>
      <c r="D82" s="22">
        <f>IF(C82="","",C82-60)</f>
        <v/>
      </c>
      <c r="E82" s="22">
        <f>IF(C82="","",C82-30)</f>
        <v/>
      </c>
      <c r="F82" s="22">
        <f>IF(C82="","",C82-7)</f>
        <v/>
      </c>
      <c r="G82" s="23">
        <f>IF(C82="","",C82-TODAY())</f>
        <v/>
      </c>
      <c r="H82" s="20">
        <f>IF(OR(C82="",K82="Renovado",K82="No renueva"),"",IF(G82&lt;0,"Vencido: llamar",IF(G82=0,"Hoy vence: llamada personal",IF(G82&lt;=7,"Recordatorio con enlace para renovar",IF(G82&lt;=30,"Enviar propuesta de renovación",IF(G82&lt;=60,"Aviso de vencimiento y resumen","Nada todavía"))))))</f>
        <v/>
      </c>
      <c r="I82" s="18" t="n"/>
      <c r="J82" s="18" t="n"/>
      <c r="K82" s="18" t="n"/>
    </row>
    <row r="83">
      <c r="A83" s="18" t="n"/>
      <c r="B83" s="18" t="n"/>
      <c r="C83" s="21" t="n"/>
      <c r="D83" s="22">
        <f>IF(C83="","",C83-60)</f>
        <v/>
      </c>
      <c r="E83" s="22">
        <f>IF(C83="","",C83-30)</f>
        <v/>
      </c>
      <c r="F83" s="22">
        <f>IF(C83="","",C83-7)</f>
        <v/>
      </c>
      <c r="G83" s="23">
        <f>IF(C83="","",C83-TODAY())</f>
        <v/>
      </c>
      <c r="H83" s="20">
        <f>IF(OR(C83="",K83="Renovado",K83="No renueva"),"",IF(G83&lt;0,"Vencido: llamar",IF(G83=0,"Hoy vence: llamada personal",IF(G83&lt;=7,"Recordatorio con enlace para renovar",IF(G83&lt;=30,"Enviar propuesta de renovación",IF(G83&lt;=60,"Aviso de vencimiento y resumen","Nada todavía"))))))</f>
        <v/>
      </c>
      <c r="I83" s="18" t="n"/>
      <c r="J83" s="18" t="n"/>
      <c r="K83" s="18" t="n"/>
    </row>
    <row r="84">
      <c r="A84" s="18" t="n"/>
      <c r="B84" s="18" t="n"/>
      <c r="C84" s="21" t="n"/>
      <c r="D84" s="22">
        <f>IF(C84="","",C84-60)</f>
        <v/>
      </c>
      <c r="E84" s="22">
        <f>IF(C84="","",C84-30)</f>
        <v/>
      </c>
      <c r="F84" s="22">
        <f>IF(C84="","",C84-7)</f>
        <v/>
      </c>
      <c r="G84" s="23">
        <f>IF(C84="","",C84-TODAY())</f>
        <v/>
      </c>
      <c r="H84" s="20">
        <f>IF(OR(C84="",K84="Renovado",K84="No renueva"),"",IF(G84&lt;0,"Vencido: llamar",IF(G84=0,"Hoy vence: llamada personal",IF(G84&lt;=7,"Recordatorio con enlace para renovar",IF(G84&lt;=30,"Enviar propuesta de renovación",IF(G84&lt;=60,"Aviso de vencimiento y resumen","Nada todavía"))))))</f>
        <v/>
      </c>
      <c r="I84" s="18" t="n"/>
      <c r="J84" s="18" t="n"/>
      <c r="K84" s="18" t="n"/>
    </row>
    <row r="85">
      <c r="A85" s="18" t="n"/>
      <c r="B85" s="18" t="n"/>
      <c r="C85" s="21" t="n"/>
      <c r="D85" s="22">
        <f>IF(C85="","",C85-60)</f>
        <v/>
      </c>
      <c r="E85" s="22">
        <f>IF(C85="","",C85-30)</f>
        <v/>
      </c>
      <c r="F85" s="22">
        <f>IF(C85="","",C85-7)</f>
        <v/>
      </c>
      <c r="G85" s="23">
        <f>IF(C85="","",C85-TODAY())</f>
        <v/>
      </c>
      <c r="H85" s="20">
        <f>IF(OR(C85="",K85="Renovado",K85="No renueva"),"",IF(G85&lt;0,"Vencido: llamar",IF(G85=0,"Hoy vence: llamada personal",IF(G85&lt;=7,"Recordatorio con enlace para renovar",IF(G85&lt;=30,"Enviar propuesta de renovación",IF(G85&lt;=60,"Aviso de vencimiento y resumen","Nada todavía"))))))</f>
        <v/>
      </c>
      <c r="I85" s="18" t="n"/>
      <c r="J85" s="18" t="n"/>
      <c r="K85" s="18" t="n"/>
    </row>
    <row r="86">
      <c r="A86" s="18" t="n"/>
      <c r="B86" s="18" t="n"/>
      <c r="C86" s="21" t="n"/>
      <c r="D86" s="22">
        <f>IF(C86="","",C86-60)</f>
        <v/>
      </c>
      <c r="E86" s="22">
        <f>IF(C86="","",C86-30)</f>
        <v/>
      </c>
      <c r="F86" s="22">
        <f>IF(C86="","",C86-7)</f>
        <v/>
      </c>
      <c r="G86" s="23">
        <f>IF(C86="","",C86-TODAY())</f>
        <v/>
      </c>
      <c r="H86" s="20">
        <f>IF(OR(C86="",K86="Renovado",K86="No renueva"),"",IF(G86&lt;0,"Vencido: llamar",IF(G86=0,"Hoy vence: llamada personal",IF(G86&lt;=7,"Recordatorio con enlace para renovar",IF(G86&lt;=30,"Enviar propuesta de renovación",IF(G86&lt;=60,"Aviso de vencimiento y resumen","Nada todavía"))))))</f>
        <v/>
      </c>
      <c r="I86" s="18" t="n"/>
      <c r="J86" s="18" t="n"/>
      <c r="K86" s="18" t="n"/>
    </row>
    <row r="87">
      <c r="A87" s="18" t="n"/>
      <c r="B87" s="18" t="n"/>
      <c r="C87" s="21" t="n"/>
      <c r="D87" s="22">
        <f>IF(C87="","",C87-60)</f>
        <v/>
      </c>
      <c r="E87" s="22">
        <f>IF(C87="","",C87-30)</f>
        <v/>
      </c>
      <c r="F87" s="22">
        <f>IF(C87="","",C87-7)</f>
        <v/>
      </c>
      <c r="G87" s="23">
        <f>IF(C87="","",C87-TODAY())</f>
        <v/>
      </c>
      <c r="H87" s="20">
        <f>IF(OR(C87="",K87="Renovado",K87="No renueva"),"",IF(G87&lt;0,"Vencido: llamar",IF(G87=0,"Hoy vence: llamada personal",IF(G87&lt;=7,"Recordatorio con enlace para renovar",IF(G87&lt;=30,"Enviar propuesta de renovación",IF(G87&lt;=60,"Aviso de vencimiento y resumen","Nada todavía"))))))</f>
        <v/>
      </c>
      <c r="I87" s="18" t="n"/>
      <c r="J87" s="18" t="n"/>
      <c r="K87" s="18" t="n"/>
    </row>
    <row r="88">
      <c r="A88" s="18" t="n"/>
      <c r="B88" s="18" t="n"/>
      <c r="C88" s="21" t="n"/>
      <c r="D88" s="22">
        <f>IF(C88="","",C88-60)</f>
        <v/>
      </c>
      <c r="E88" s="22">
        <f>IF(C88="","",C88-30)</f>
        <v/>
      </c>
      <c r="F88" s="22">
        <f>IF(C88="","",C88-7)</f>
        <v/>
      </c>
      <c r="G88" s="23">
        <f>IF(C88="","",C88-TODAY())</f>
        <v/>
      </c>
      <c r="H88" s="20">
        <f>IF(OR(C88="",K88="Renovado",K88="No renueva"),"",IF(G88&lt;0,"Vencido: llamar",IF(G88=0,"Hoy vence: llamada personal",IF(G88&lt;=7,"Recordatorio con enlace para renovar",IF(G88&lt;=30,"Enviar propuesta de renovación",IF(G88&lt;=60,"Aviso de vencimiento y resumen","Nada todavía"))))))</f>
        <v/>
      </c>
      <c r="I88" s="18" t="n"/>
      <c r="J88" s="18" t="n"/>
      <c r="K88" s="18" t="n"/>
    </row>
    <row r="89">
      <c r="A89" s="18" t="n"/>
      <c r="B89" s="18" t="n"/>
      <c r="C89" s="21" t="n"/>
      <c r="D89" s="22">
        <f>IF(C89="","",C89-60)</f>
        <v/>
      </c>
      <c r="E89" s="22">
        <f>IF(C89="","",C89-30)</f>
        <v/>
      </c>
      <c r="F89" s="22">
        <f>IF(C89="","",C89-7)</f>
        <v/>
      </c>
      <c r="G89" s="23">
        <f>IF(C89="","",C89-TODAY())</f>
        <v/>
      </c>
      <c r="H89" s="20">
        <f>IF(OR(C89="",K89="Renovado",K89="No renueva"),"",IF(G89&lt;0,"Vencido: llamar",IF(G89=0,"Hoy vence: llamada personal",IF(G89&lt;=7,"Recordatorio con enlace para renovar",IF(G89&lt;=30,"Enviar propuesta de renovación",IF(G89&lt;=60,"Aviso de vencimiento y resumen","Nada todavía"))))))</f>
        <v/>
      </c>
      <c r="I89" s="18" t="n"/>
      <c r="J89" s="18" t="n"/>
      <c r="K89" s="18" t="n"/>
    </row>
    <row r="90">
      <c r="A90" s="18" t="n"/>
      <c r="B90" s="18" t="n"/>
      <c r="C90" s="21" t="n"/>
      <c r="D90" s="22">
        <f>IF(C90="","",C90-60)</f>
        <v/>
      </c>
      <c r="E90" s="22">
        <f>IF(C90="","",C90-30)</f>
        <v/>
      </c>
      <c r="F90" s="22">
        <f>IF(C90="","",C90-7)</f>
        <v/>
      </c>
      <c r="G90" s="23">
        <f>IF(C90="","",C90-TODAY())</f>
        <v/>
      </c>
      <c r="H90" s="20">
        <f>IF(OR(C90="",K90="Renovado",K90="No renueva"),"",IF(G90&lt;0,"Vencido: llamar",IF(G90=0,"Hoy vence: llamada personal",IF(G90&lt;=7,"Recordatorio con enlace para renovar",IF(G90&lt;=30,"Enviar propuesta de renovación",IF(G90&lt;=60,"Aviso de vencimiento y resumen","Nada todavía"))))))</f>
        <v/>
      </c>
      <c r="I90" s="18" t="n"/>
      <c r="J90" s="18" t="n"/>
      <c r="K90" s="18" t="n"/>
    </row>
    <row r="91">
      <c r="A91" s="18" t="n"/>
      <c r="B91" s="18" t="n"/>
      <c r="C91" s="21" t="n"/>
      <c r="D91" s="22">
        <f>IF(C91="","",C91-60)</f>
        <v/>
      </c>
      <c r="E91" s="22">
        <f>IF(C91="","",C91-30)</f>
        <v/>
      </c>
      <c r="F91" s="22">
        <f>IF(C91="","",C91-7)</f>
        <v/>
      </c>
      <c r="G91" s="23">
        <f>IF(C91="","",C91-TODAY())</f>
        <v/>
      </c>
      <c r="H91" s="20">
        <f>IF(OR(C91="",K91="Renovado",K91="No renueva"),"",IF(G91&lt;0,"Vencido: llamar",IF(G91=0,"Hoy vence: llamada personal",IF(G91&lt;=7,"Recordatorio con enlace para renovar",IF(G91&lt;=30,"Enviar propuesta de renovación",IF(G91&lt;=60,"Aviso de vencimiento y resumen","Nada todavía"))))))</f>
        <v/>
      </c>
      <c r="I91" s="18" t="n"/>
      <c r="J91" s="18" t="n"/>
      <c r="K91" s="18" t="n"/>
    </row>
    <row r="92">
      <c r="A92" s="18" t="n"/>
      <c r="B92" s="18" t="n"/>
      <c r="C92" s="21" t="n"/>
      <c r="D92" s="22">
        <f>IF(C92="","",C92-60)</f>
        <v/>
      </c>
      <c r="E92" s="22">
        <f>IF(C92="","",C92-30)</f>
        <v/>
      </c>
      <c r="F92" s="22">
        <f>IF(C92="","",C92-7)</f>
        <v/>
      </c>
      <c r="G92" s="23">
        <f>IF(C92="","",C92-TODAY())</f>
        <v/>
      </c>
      <c r="H92" s="20">
        <f>IF(OR(C92="",K92="Renovado",K92="No renueva"),"",IF(G92&lt;0,"Vencido: llamar",IF(G92=0,"Hoy vence: llamada personal",IF(G92&lt;=7,"Recordatorio con enlace para renovar",IF(G92&lt;=30,"Enviar propuesta de renovación",IF(G92&lt;=60,"Aviso de vencimiento y resumen","Nada todavía"))))))</f>
        <v/>
      </c>
      <c r="I92" s="18" t="n"/>
      <c r="J92" s="18" t="n"/>
      <c r="K92" s="18" t="n"/>
    </row>
    <row r="93">
      <c r="A93" s="18" t="n"/>
      <c r="B93" s="18" t="n"/>
      <c r="C93" s="21" t="n"/>
      <c r="D93" s="22">
        <f>IF(C93="","",C93-60)</f>
        <v/>
      </c>
      <c r="E93" s="22">
        <f>IF(C93="","",C93-30)</f>
        <v/>
      </c>
      <c r="F93" s="22">
        <f>IF(C93="","",C93-7)</f>
        <v/>
      </c>
      <c r="G93" s="23">
        <f>IF(C93="","",C93-TODAY())</f>
        <v/>
      </c>
      <c r="H93" s="20">
        <f>IF(OR(C93="",K93="Renovado",K93="No renueva"),"",IF(G93&lt;0,"Vencido: llamar",IF(G93=0,"Hoy vence: llamada personal",IF(G93&lt;=7,"Recordatorio con enlace para renovar",IF(G93&lt;=30,"Enviar propuesta de renovación",IF(G93&lt;=60,"Aviso de vencimiento y resumen","Nada todavía"))))))</f>
        <v/>
      </c>
      <c r="I93" s="18" t="n"/>
      <c r="J93" s="18" t="n"/>
      <c r="K93" s="18" t="n"/>
    </row>
    <row r="94">
      <c r="A94" s="18" t="n"/>
      <c r="B94" s="18" t="n"/>
      <c r="C94" s="21" t="n"/>
      <c r="D94" s="22">
        <f>IF(C94="","",C94-60)</f>
        <v/>
      </c>
      <c r="E94" s="22">
        <f>IF(C94="","",C94-30)</f>
        <v/>
      </c>
      <c r="F94" s="22">
        <f>IF(C94="","",C94-7)</f>
        <v/>
      </c>
      <c r="G94" s="23">
        <f>IF(C94="","",C94-TODAY())</f>
        <v/>
      </c>
      <c r="H94" s="20">
        <f>IF(OR(C94="",K94="Renovado",K94="No renueva"),"",IF(G94&lt;0,"Vencido: llamar",IF(G94=0,"Hoy vence: llamada personal",IF(G94&lt;=7,"Recordatorio con enlace para renovar",IF(G94&lt;=30,"Enviar propuesta de renovación",IF(G94&lt;=60,"Aviso de vencimiento y resumen","Nada todavía"))))))</f>
        <v/>
      </c>
      <c r="I94" s="18" t="n"/>
      <c r="J94" s="18" t="n"/>
      <c r="K94" s="18" t="n"/>
    </row>
    <row r="95">
      <c r="A95" s="18" t="n"/>
      <c r="B95" s="18" t="n"/>
      <c r="C95" s="21" t="n"/>
      <c r="D95" s="22">
        <f>IF(C95="","",C95-60)</f>
        <v/>
      </c>
      <c r="E95" s="22">
        <f>IF(C95="","",C95-30)</f>
        <v/>
      </c>
      <c r="F95" s="22">
        <f>IF(C95="","",C95-7)</f>
        <v/>
      </c>
      <c r="G95" s="23">
        <f>IF(C95="","",C95-TODAY())</f>
        <v/>
      </c>
      <c r="H95" s="20">
        <f>IF(OR(C95="",K95="Renovado",K95="No renueva"),"",IF(G95&lt;0,"Vencido: llamar",IF(G95=0,"Hoy vence: llamada personal",IF(G95&lt;=7,"Recordatorio con enlace para renovar",IF(G95&lt;=30,"Enviar propuesta de renovación",IF(G95&lt;=60,"Aviso de vencimiento y resumen","Nada todavía"))))))</f>
        <v/>
      </c>
      <c r="I95" s="18" t="n"/>
      <c r="J95" s="18" t="n"/>
      <c r="K95" s="18" t="n"/>
    </row>
    <row r="96">
      <c r="A96" s="18" t="n"/>
      <c r="B96" s="18" t="n"/>
      <c r="C96" s="21" t="n"/>
      <c r="D96" s="22">
        <f>IF(C96="","",C96-60)</f>
        <v/>
      </c>
      <c r="E96" s="22">
        <f>IF(C96="","",C96-30)</f>
        <v/>
      </c>
      <c r="F96" s="22">
        <f>IF(C96="","",C96-7)</f>
        <v/>
      </c>
      <c r="G96" s="23">
        <f>IF(C96="","",C96-TODAY())</f>
        <v/>
      </c>
      <c r="H96" s="20">
        <f>IF(OR(C96="",K96="Renovado",K96="No renueva"),"",IF(G96&lt;0,"Vencido: llamar",IF(G96=0,"Hoy vence: llamada personal",IF(G96&lt;=7,"Recordatorio con enlace para renovar",IF(G96&lt;=30,"Enviar propuesta de renovación",IF(G96&lt;=60,"Aviso de vencimiento y resumen","Nada todavía"))))))</f>
        <v/>
      </c>
      <c r="I96" s="18" t="n"/>
      <c r="J96" s="18" t="n"/>
      <c r="K96" s="18" t="n"/>
    </row>
    <row r="97">
      <c r="A97" s="18" t="n"/>
      <c r="B97" s="18" t="n"/>
      <c r="C97" s="21" t="n"/>
      <c r="D97" s="22">
        <f>IF(C97="","",C97-60)</f>
        <v/>
      </c>
      <c r="E97" s="22">
        <f>IF(C97="","",C97-30)</f>
        <v/>
      </c>
      <c r="F97" s="22">
        <f>IF(C97="","",C97-7)</f>
        <v/>
      </c>
      <c r="G97" s="23">
        <f>IF(C97="","",C97-TODAY())</f>
        <v/>
      </c>
      <c r="H97" s="20">
        <f>IF(OR(C97="",K97="Renovado",K97="No renueva"),"",IF(G97&lt;0,"Vencido: llamar",IF(G97=0,"Hoy vence: llamada personal",IF(G97&lt;=7,"Recordatorio con enlace para renovar",IF(G97&lt;=30,"Enviar propuesta de renovación",IF(G97&lt;=60,"Aviso de vencimiento y resumen","Nada todavía"))))))</f>
        <v/>
      </c>
      <c r="I97" s="18" t="n"/>
      <c r="J97" s="18" t="n"/>
      <c r="K97" s="18" t="n"/>
    </row>
    <row r="98">
      <c r="A98" s="18" t="n"/>
      <c r="B98" s="18" t="n"/>
      <c r="C98" s="21" t="n"/>
      <c r="D98" s="22">
        <f>IF(C98="","",C98-60)</f>
        <v/>
      </c>
      <c r="E98" s="22">
        <f>IF(C98="","",C98-30)</f>
        <v/>
      </c>
      <c r="F98" s="22">
        <f>IF(C98="","",C98-7)</f>
        <v/>
      </c>
      <c r="G98" s="23">
        <f>IF(C98="","",C98-TODAY())</f>
        <v/>
      </c>
      <c r="H98" s="20">
        <f>IF(OR(C98="",K98="Renovado",K98="No renueva"),"",IF(G98&lt;0,"Vencido: llamar",IF(G98=0,"Hoy vence: llamada personal",IF(G98&lt;=7,"Recordatorio con enlace para renovar",IF(G98&lt;=30,"Enviar propuesta de renovación",IF(G98&lt;=60,"Aviso de vencimiento y resumen","Nada todavía"))))))</f>
        <v/>
      </c>
      <c r="I98" s="18" t="n"/>
      <c r="J98" s="18" t="n"/>
      <c r="K98" s="18" t="n"/>
    </row>
    <row r="99">
      <c r="A99" s="18" t="n"/>
      <c r="B99" s="18" t="n"/>
      <c r="C99" s="21" t="n"/>
      <c r="D99" s="22">
        <f>IF(C99="","",C99-60)</f>
        <v/>
      </c>
      <c r="E99" s="22">
        <f>IF(C99="","",C99-30)</f>
        <v/>
      </c>
      <c r="F99" s="22">
        <f>IF(C99="","",C99-7)</f>
        <v/>
      </c>
      <c r="G99" s="23">
        <f>IF(C99="","",C99-TODAY())</f>
        <v/>
      </c>
      <c r="H99" s="20">
        <f>IF(OR(C99="",K99="Renovado",K99="No renueva"),"",IF(G99&lt;0,"Vencido: llamar",IF(G99=0,"Hoy vence: llamada personal",IF(G99&lt;=7,"Recordatorio con enlace para renovar",IF(G99&lt;=30,"Enviar propuesta de renovación",IF(G99&lt;=60,"Aviso de vencimiento y resumen","Nada todavía"))))))</f>
        <v/>
      </c>
      <c r="I99" s="18" t="n"/>
      <c r="J99" s="18" t="n"/>
      <c r="K99" s="18" t="n"/>
    </row>
    <row r="100">
      <c r="A100" s="18" t="n"/>
      <c r="B100" s="18" t="n"/>
      <c r="C100" s="21" t="n"/>
      <c r="D100" s="22">
        <f>IF(C100="","",C100-60)</f>
        <v/>
      </c>
      <c r="E100" s="22">
        <f>IF(C100="","",C100-30)</f>
        <v/>
      </c>
      <c r="F100" s="22">
        <f>IF(C100="","",C100-7)</f>
        <v/>
      </c>
      <c r="G100" s="23">
        <f>IF(C100="","",C100-TODAY())</f>
        <v/>
      </c>
      <c r="H100" s="20">
        <f>IF(OR(C100="",K100="Renovado",K100="No renueva"),"",IF(G100&lt;0,"Vencido: llamar",IF(G100=0,"Hoy vence: llamada personal",IF(G100&lt;=7,"Recordatorio con enlace para renovar",IF(G100&lt;=30,"Enviar propuesta de renovación",IF(G100&lt;=60,"Aviso de vencimiento y resumen","Nada todavía"))))))</f>
        <v/>
      </c>
      <c r="I100" s="18" t="n"/>
      <c r="J100" s="18" t="n"/>
      <c r="K100" s="18" t="n"/>
    </row>
    <row r="101">
      <c r="A101" s="18" t="n"/>
      <c r="B101" s="18" t="n"/>
      <c r="C101" s="21" t="n"/>
      <c r="D101" s="22">
        <f>IF(C101="","",C101-60)</f>
        <v/>
      </c>
      <c r="E101" s="22">
        <f>IF(C101="","",C101-30)</f>
        <v/>
      </c>
      <c r="F101" s="22">
        <f>IF(C101="","",C101-7)</f>
        <v/>
      </c>
      <c r="G101" s="23">
        <f>IF(C101="","",C101-TODAY())</f>
        <v/>
      </c>
      <c r="H101" s="20">
        <f>IF(OR(C101="",K101="Renovado",K101="No renueva"),"",IF(G101&lt;0,"Vencido: llamar",IF(G101=0,"Hoy vence: llamada personal",IF(G101&lt;=7,"Recordatorio con enlace para renovar",IF(G101&lt;=30,"Enviar propuesta de renovación",IF(G101&lt;=60,"Aviso de vencimiento y resumen","Nada todavía"))))))</f>
        <v/>
      </c>
      <c r="I101" s="18" t="n"/>
      <c r="J101" s="18" t="n"/>
      <c r="K101" s="18" t="n"/>
    </row>
    <row r="102">
      <c r="A102" s="18" t="n"/>
      <c r="B102" s="18" t="n"/>
      <c r="C102" s="21" t="n"/>
      <c r="D102" s="22">
        <f>IF(C102="","",C102-60)</f>
        <v/>
      </c>
      <c r="E102" s="22">
        <f>IF(C102="","",C102-30)</f>
        <v/>
      </c>
      <c r="F102" s="22">
        <f>IF(C102="","",C102-7)</f>
        <v/>
      </c>
      <c r="G102" s="23">
        <f>IF(C102="","",C102-TODAY())</f>
        <v/>
      </c>
      <c r="H102" s="20">
        <f>IF(OR(C102="",K102="Renovado",K102="No renueva"),"",IF(G102&lt;0,"Vencido: llamar",IF(G102=0,"Hoy vence: llamada personal",IF(G102&lt;=7,"Recordatorio con enlace para renovar",IF(G102&lt;=30,"Enviar propuesta de renovación",IF(G102&lt;=60,"Aviso de vencimiento y resumen","Nada todavía"))))))</f>
        <v/>
      </c>
      <c r="I102" s="18" t="n"/>
      <c r="J102" s="18" t="n"/>
      <c r="K102" s="18" t="n"/>
    </row>
    <row r="103">
      <c r="A103" s="18" t="n"/>
      <c r="B103" s="18" t="n"/>
      <c r="C103" s="21" t="n"/>
      <c r="D103" s="22">
        <f>IF(C103="","",C103-60)</f>
        <v/>
      </c>
      <c r="E103" s="22">
        <f>IF(C103="","",C103-30)</f>
        <v/>
      </c>
      <c r="F103" s="22">
        <f>IF(C103="","",C103-7)</f>
        <v/>
      </c>
      <c r="G103" s="23">
        <f>IF(C103="","",C103-TODAY())</f>
        <v/>
      </c>
      <c r="H103" s="20">
        <f>IF(OR(C103="",K103="Renovado",K103="No renueva"),"",IF(G103&lt;0,"Vencido: llamar",IF(G103=0,"Hoy vence: llamada personal",IF(G103&lt;=7,"Recordatorio con enlace para renovar",IF(G103&lt;=30,"Enviar propuesta de renovación",IF(G103&lt;=60,"Aviso de vencimiento y resumen","Nada todavía"))))))</f>
        <v/>
      </c>
      <c r="I103" s="18" t="n"/>
      <c r="J103" s="18" t="n"/>
      <c r="K103" s="18" t="n"/>
    </row>
    <row r="104">
      <c r="A104" s="18" t="n"/>
      <c r="B104" s="18" t="n"/>
      <c r="C104" s="21" t="n"/>
      <c r="D104" s="22">
        <f>IF(C104="","",C104-60)</f>
        <v/>
      </c>
      <c r="E104" s="22">
        <f>IF(C104="","",C104-30)</f>
        <v/>
      </c>
      <c r="F104" s="22">
        <f>IF(C104="","",C104-7)</f>
        <v/>
      </c>
      <c r="G104" s="23">
        <f>IF(C104="","",C104-TODAY())</f>
        <v/>
      </c>
      <c r="H104" s="20">
        <f>IF(OR(C104="",K104="Renovado",K104="No renueva"),"",IF(G104&lt;0,"Vencido: llamar",IF(G104=0,"Hoy vence: llamada personal",IF(G104&lt;=7,"Recordatorio con enlace para renovar",IF(G104&lt;=30,"Enviar propuesta de renovación",IF(G104&lt;=60,"Aviso de vencimiento y resumen","Nada todavía"))))))</f>
        <v/>
      </c>
      <c r="I104" s="18" t="n"/>
      <c r="J104" s="18" t="n"/>
      <c r="K104" s="18" t="n"/>
    </row>
    <row r="105">
      <c r="A105" s="18" t="n"/>
      <c r="B105" s="18" t="n"/>
      <c r="C105" s="21" t="n"/>
      <c r="D105" s="22">
        <f>IF(C105="","",C105-60)</f>
        <v/>
      </c>
      <c r="E105" s="22">
        <f>IF(C105="","",C105-30)</f>
        <v/>
      </c>
      <c r="F105" s="22">
        <f>IF(C105="","",C105-7)</f>
        <v/>
      </c>
      <c r="G105" s="23">
        <f>IF(C105="","",C105-TODAY())</f>
        <v/>
      </c>
      <c r="H105" s="20">
        <f>IF(OR(C105="",K105="Renovado",K105="No renueva"),"",IF(G105&lt;0,"Vencido: llamar",IF(G105=0,"Hoy vence: llamada personal",IF(G105&lt;=7,"Recordatorio con enlace para renovar",IF(G105&lt;=30,"Enviar propuesta de renovación",IF(G105&lt;=60,"Aviso de vencimiento y resumen","Nada todavía"))))))</f>
        <v/>
      </c>
      <c r="I105" s="18" t="n"/>
      <c r="J105" s="18" t="n"/>
      <c r="K105" s="18" t="n"/>
    </row>
    <row r="106">
      <c r="A106" s="18" t="n"/>
      <c r="B106" s="18" t="n"/>
      <c r="C106" s="21" t="n"/>
      <c r="D106" s="22">
        <f>IF(C106="","",C106-60)</f>
        <v/>
      </c>
      <c r="E106" s="22">
        <f>IF(C106="","",C106-30)</f>
        <v/>
      </c>
      <c r="F106" s="22">
        <f>IF(C106="","",C106-7)</f>
        <v/>
      </c>
      <c r="G106" s="23">
        <f>IF(C106="","",C106-TODAY())</f>
        <v/>
      </c>
      <c r="H106" s="20">
        <f>IF(OR(C106="",K106="Renovado",K106="No renueva"),"",IF(G106&lt;0,"Vencido: llamar",IF(G106=0,"Hoy vence: llamada personal",IF(G106&lt;=7,"Recordatorio con enlace para renovar",IF(G106&lt;=30,"Enviar propuesta de renovación",IF(G106&lt;=60,"Aviso de vencimiento y resumen","Nada todavía"))))))</f>
        <v/>
      </c>
      <c r="I106" s="18" t="n"/>
      <c r="J106" s="18" t="n"/>
      <c r="K106" s="18" t="n"/>
    </row>
    <row r="107">
      <c r="A107" s="18" t="n"/>
      <c r="B107" s="18" t="n"/>
      <c r="C107" s="21" t="n"/>
      <c r="D107" s="22">
        <f>IF(C107="","",C107-60)</f>
        <v/>
      </c>
      <c r="E107" s="22">
        <f>IF(C107="","",C107-30)</f>
        <v/>
      </c>
      <c r="F107" s="22">
        <f>IF(C107="","",C107-7)</f>
        <v/>
      </c>
      <c r="G107" s="23">
        <f>IF(C107="","",C107-TODAY())</f>
        <v/>
      </c>
      <c r="H107" s="20">
        <f>IF(OR(C107="",K107="Renovado",K107="No renueva"),"",IF(G107&lt;0,"Vencido: llamar",IF(G107=0,"Hoy vence: llamada personal",IF(G107&lt;=7,"Recordatorio con enlace para renovar",IF(G107&lt;=30,"Enviar propuesta de renovación",IF(G107&lt;=60,"Aviso de vencimiento y resumen","Nada todavía"))))))</f>
        <v/>
      </c>
      <c r="I107" s="18" t="n"/>
      <c r="J107" s="18" t="n"/>
      <c r="K107" s="18" t="n"/>
    </row>
    <row r="108">
      <c r="A108" s="18" t="n"/>
      <c r="B108" s="18" t="n"/>
      <c r="C108" s="21" t="n"/>
      <c r="D108" s="22">
        <f>IF(C108="","",C108-60)</f>
        <v/>
      </c>
      <c r="E108" s="22">
        <f>IF(C108="","",C108-30)</f>
        <v/>
      </c>
      <c r="F108" s="22">
        <f>IF(C108="","",C108-7)</f>
        <v/>
      </c>
      <c r="G108" s="23">
        <f>IF(C108="","",C108-TODAY())</f>
        <v/>
      </c>
      <c r="H108" s="20">
        <f>IF(OR(C108="",K108="Renovado",K108="No renueva"),"",IF(G108&lt;0,"Vencido: llamar",IF(G108=0,"Hoy vence: llamada personal",IF(G108&lt;=7,"Recordatorio con enlace para renovar",IF(G108&lt;=30,"Enviar propuesta de renovación",IF(G108&lt;=60,"Aviso de vencimiento y resumen","Nada todavía"))))))</f>
        <v/>
      </c>
      <c r="I108" s="18" t="n"/>
      <c r="J108" s="18" t="n"/>
      <c r="K108" s="18" t="n"/>
    </row>
    <row r="109">
      <c r="A109" s="18" t="n"/>
      <c r="B109" s="18" t="n"/>
      <c r="C109" s="21" t="n"/>
      <c r="D109" s="22">
        <f>IF(C109="","",C109-60)</f>
        <v/>
      </c>
      <c r="E109" s="22">
        <f>IF(C109="","",C109-30)</f>
        <v/>
      </c>
      <c r="F109" s="22">
        <f>IF(C109="","",C109-7)</f>
        <v/>
      </c>
      <c r="G109" s="23">
        <f>IF(C109="","",C109-TODAY())</f>
        <v/>
      </c>
      <c r="H109" s="20">
        <f>IF(OR(C109="",K109="Renovado",K109="No renueva"),"",IF(G109&lt;0,"Vencido: llamar",IF(G109=0,"Hoy vence: llamada personal",IF(G109&lt;=7,"Recordatorio con enlace para renovar",IF(G109&lt;=30,"Enviar propuesta de renovación",IF(G109&lt;=60,"Aviso de vencimiento y resumen","Nada todavía"))))))</f>
        <v/>
      </c>
      <c r="I109" s="18" t="n"/>
      <c r="J109" s="18" t="n"/>
      <c r="K109" s="18" t="n"/>
    </row>
    <row r="110">
      <c r="A110" s="18" t="n"/>
      <c r="B110" s="18" t="n"/>
      <c r="C110" s="21" t="n"/>
      <c r="D110" s="22">
        <f>IF(C110="","",C110-60)</f>
        <v/>
      </c>
      <c r="E110" s="22">
        <f>IF(C110="","",C110-30)</f>
        <v/>
      </c>
      <c r="F110" s="22">
        <f>IF(C110="","",C110-7)</f>
        <v/>
      </c>
      <c r="G110" s="23">
        <f>IF(C110="","",C110-TODAY())</f>
        <v/>
      </c>
      <c r="H110" s="20">
        <f>IF(OR(C110="",K110="Renovado",K110="No renueva"),"",IF(G110&lt;0,"Vencido: llamar",IF(G110=0,"Hoy vence: llamada personal",IF(G110&lt;=7,"Recordatorio con enlace para renovar",IF(G110&lt;=30,"Enviar propuesta de renovación",IF(G110&lt;=60,"Aviso de vencimiento y resumen","Nada todavía"))))))</f>
        <v/>
      </c>
      <c r="I110" s="18" t="n"/>
      <c r="J110" s="18" t="n"/>
      <c r="K110" s="18" t="n"/>
    </row>
    <row r="111">
      <c r="A111" s="18" t="n"/>
      <c r="B111" s="18" t="n"/>
      <c r="C111" s="21" t="n"/>
      <c r="D111" s="22">
        <f>IF(C111="","",C111-60)</f>
        <v/>
      </c>
      <c r="E111" s="22">
        <f>IF(C111="","",C111-30)</f>
        <v/>
      </c>
      <c r="F111" s="22">
        <f>IF(C111="","",C111-7)</f>
        <v/>
      </c>
      <c r="G111" s="23">
        <f>IF(C111="","",C111-TODAY())</f>
        <v/>
      </c>
      <c r="H111" s="20">
        <f>IF(OR(C111="",K111="Renovado",K111="No renueva"),"",IF(G111&lt;0,"Vencido: llamar",IF(G111=0,"Hoy vence: llamada personal",IF(G111&lt;=7,"Recordatorio con enlace para renovar",IF(G111&lt;=30,"Enviar propuesta de renovación",IF(G111&lt;=60,"Aviso de vencimiento y resumen","Nada todavía"))))))</f>
        <v/>
      </c>
      <c r="I111" s="18" t="n"/>
      <c r="J111" s="18" t="n"/>
      <c r="K111" s="18" t="n"/>
    </row>
    <row r="112">
      <c r="A112" s="18" t="n"/>
      <c r="B112" s="18" t="n"/>
      <c r="C112" s="21" t="n"/>
      <c r="D112" s="22">
        <f>IF(C112="","",C112-60)</f>
        <v/>
      </c>
      <c r="E112" s="22">
        <f>IF(C112="","",C112-30)</f>
        <v/>
      </c>
      <c r="F112" s="22">
        <f>IF(C112="","",C112-7)</f>
        <v/>
      </c>
      <c r="G112" s="23">
        <f>IF(C112="","",C112-TODAY())</f>
        <v/>
      </c>
      <c r="H112" s="20">
        <f>IF(OR(C112="",K112="Renovado",K112="No renueva"),"",IF(G112&lt;0,"Vencido: llamar",IF(G112=0,"Hoy vence: llamada personal",IF(G112&lt;=7,"Recordatorio con enlace para renovar",IF(G112&lt;=30,"Enviar propuesta de renovación",IF(G112&lt;=60,"Aviso de vencimiento y resumen","Nada todavía"))))))</f>
        <v/>
      </c>
      <c r="I112" s="18" t="n"/>
      <c r="J112" s="18" t="n"/>
      <c r="K112" s="18" t="n"/>
    </row>
    <row r="113">
      <c r="A113" s="18" t="n"/>
      <c r="B113" s="18" t="n"/>
      <c r="C113" s="21" t="n"/>
      <c r="D113" s="22">
        <f>IF(C113="","",C113-60)</f>
        <v/>
      </c>
      <c r="E113" s="22">
        <f>IF(C113="","",C113-30)</f>
        <v/>
      </c>
      <c r="F113" s="22">
        <f>IF(C113="","",C113-7)</f>
        <v/>
      </c>
      <c r="G113" s="23">
        <f>IF(C113="","",C113-TODAY())</f>
        <v/>
      </c>
      <c r="H113" s="20">
        <f>IF(OR(C113="",K113="Renovado",K113="No renueva"),"",IF(G113&lt;0,"Vencido: llamar",IF(G113=0,"Hoy vence: llamada personal",IF(G113&lt;=7,"Recordatorio con enlace para renovar",IF(G113&lt;=30,"Enviar propuesta de renovación",IF(G113&lt;=60,"Aviso de vencimiento y resumen","Nada todavía"))))))</f>
        <v/>
      </c>
      <c r="I113" s="18" t="n"/>
      <c r="J113" s="18" t="n"/>
      <c r="K113" s="18" t="n"/>
    </row>
    <row r="114">
      <c r="A114" s="18" t="n"/>
      <c r="B114" s="18" t="n"/>
      <c r="C114" s="21" t="n"/>
      <c r="D114" s="22">
        <f>IF(C114="","",C114-60)</f>
        <v/>
      </c>
      <c r="E114" s="22">
        <f>IF(C114="","",C114-30)</f>
        <v/>
      </c>
      <c r="F114" s="22">
        <f>IF(C114="","",C114-7)</f>
        <v/>
      </c>
      <c r="G114" s="23">
        <f>IF(C114="","",C114-TODAY())</f>
        <v/>
      </c>
      <c r="H114" s="20">
        <f>IF(OR(C114="",K114="Renovado",K114="No renueva"),"",IF(G114&lt;0,"Vencido: llamar",IF(G114=0,"Hoy vence: llamada personal",IF(G114&lt;=7,"Recordatorio con enlace para renovar",IF(G114&lt;=30,"Enviar propuesta de renovación",IF(G114&lt;=60,"Aviso de vencimiento y resumen","Nada todavía"))))))</f>
        <v/>
      </c>
      <c r="I114" s="18" t="n"/>
      <c r="J114" s="18" t="n"/>
      <c r="K114" s="18" t="n"/>
    </row>
    <row r="115">
      <c r="A115" s="18" t="n"/>
      <c r="B115" s="18" t="n"/>
      <c r="C115" s="21" t="n"/>
      <c r="D115" s="22">
        <f>IF(C115="","",C115-60)</f>
        <v/>
      </c>
      <c r="E115" s="22">
        <f>IF(C115="","",C115-30)</f>
        <v/>
      </c>
      <c r="F115" s="22">
        <f>IF(C115="","",C115-7)</f>
        <v/>
      </c>
      <c r="G115" s="23">
        <f>IF(C115="","",C115-TODAY())</f>
        <v/>
      </c>
      <c r="H115" s="20">
        <f>IF(OR(C115="",K115="Renovado",K115="No renueva"),"",IF(G115&lt;0,"Vencido: llamar",IF(G115=0,"Hoy vence: llamada personal",IF(G115&lt;=7,"Recordatorio con enlace para renovar",IF(G115&lt;=30,"Enviar propuesta de renovación",IF(G115&lt;=60,"Aviso de vencimiento y resumen","Nada todavía"))))))</f>
        <v/>
      </c>
      <c r="I115" s="18" t="n"/>
      <c r="J115" s="18" t="n"/>
      <c r="K115" s="18" t="n"/>
    </row>
    <row r="116">
      <c r="A116" s="18" t="n"/>
      <c r="B116" s="18" t="n"/>
      <c r="C116" s="21" t="n"/>
      <c r="D116" s="22">
        <f>IF(C116="","",C116-60)</f>
        <v/>
      </c>
      <c r="E116" s="22">
        <f>IF(C116="","",C116-30)</f>
        <v/>
      </c>
      <c r="F116" s="22">
        <f>IF(C116="","",C116-7)</f>
        <v/>
      </c>
      <c r="G116" s="23">
        <f>IF(C116="","",C116-TODAY())</f>
        <v/>
      </c>
      <c r="H116" s="20">
        <f>IF(OR(C116="",K116="Renovado",K116="No renueva"),"",IF(G116&lt;0,"Vencido: llamar",IF(G116=0,"Hoy vence: llamada personal",IF(G116&lt;=7,"Recordatorio con enlace para renovar",IF(G116&lt;=30,"Enviar propuesta de renovación",IF(G116&lt;=60,"Aviso de vencimiento y resumen","Nada todavía"))))))</f>
        <v/>
      </c>
      <c r="I116" s="18" t="n"/>
      <c r="J116" s="18" t="n"/>
      <c r="K116" s="18" t="n"/>
    </row>
    <row r="117">
      <c r="A117" s="18" t="n"/>
      <c r="B117" s="18" t="n"/>
      <c r="C117" s="21" t="n"/>
      <c r="D117" s="22">
        <f>IF(C117="","",C117-60)</f>
        <v/>
      </c>
      <c r="E117" s="22">
        <f>IF(C117="","",C117-30)</f>
        <v/>
      </c>
      <c r="F117" s="22">
        <f>IF(C117="","",C117-7)</f>
        <v/>
      </c>
      <c r="G117" s="23">
        <f>IF(C117="","",C117-TODAY())</f>
        <v/>
      </c>
      <c r="H117" s="20">
        <f>IF(OR(C117="",K117="Renovado",K117="No renueva"),"",IF(G117&lt;0,"Vencido: llamar",IF(G117=0,"Hoy vence: llamada personal",IF(G117&lt;=7,"Recordatorio con enlace para renovar",IF(G117&lt;=30,"Enviar propuesta de renovación",IF(G117&lt;=60,"Aviso de vencimiento y resumen","Nada todavía"))))))</f>
        <v/>
      </c>
      <c r="I117" s="18" t="n"/>
      <c r="J117" s="18" t="n"/>
      <c r="K117" s="18" t="n"/>
    </row>
    <row r="118">
      <c r="A118" s="18" t="n"/>
      <c r="B118" s="18" t="n"/>
      <c r="C118" s="21" t="n"/>
      <c r="D118" s="22">
        <f>IF(C118="","",C118-60)</f>
        <v/>
      </c>
      <c r="E118" s="22">
        <f>IF(C118="","",C118-30)</f>
        <v/>
      </c>
      <c r="F118" s="22">
        <f>IF(C118="","",C118-7)</f>
        <v/>
      </c>
      <c r="G118" s="23">
        <f>IF(C118="","",C118-TODAY())</f>
        <v/>
      </c>
      <c r="H118" s="20">
        <f>IF(OR(C118="",K118="Renovado",K118="No renueva"),"",IF(G118&lt;0,"Vencido: llamar",IF(G118=0,"Hoy vence: llamada personal",IF(G118&lt;=7,"Recordatorio con enlace para renovar",IF(G118&lt;=30,"Enviar propuesta de renovación",IF(G118&lt;=60,"Aviso de vencimiento y resumen","Nada todavía"))))))</f>
        <v/>
      </c>
      <c r="I118" s="18" t="n"/>
      <c r="J118" s="18" t="n"/>
      <c r="K118" s="18" t="n"/>
    </row>
    <row r="119">
      <c r="A119" s="18" t="n"/>
      <c r="B119" s="18" t="n"/>
      <c r="C119" s="21" t="n"/>
      <c r="D119" s="22">
        <f>IF(C119="","",C119-60)</f>
        <v/>
      </c>
      <c r="E119" s="22">
        <f>IF(C119="","",C119-30)</f>
        <v/>
      </c>
      <c r="F119" s="22">
        <f>IF(C119="","",C119-7)</f>
        <v/>
      </c>
      <c r="G119" s="23">
        <f>IF(C119="","",C119-TODAY())</f>
        <v/>
      </c>
      <c r="H119" s="20">
        <f>IF(OR(C119="",K119="Renovado",K119="No renueva"),"",IF(G119&lt;0,"Vencido: llamar",IF(G119=0,"Hoy vence: llamada personal",IF(G119&lt;=7,"Recordatorio con enlace para renovar",IF(G119&lt;=30,"Enviar propuesta de renovación",IF(G119&lt;=60,"Aviso de vencimiento y resumen","Nada todavía"))))))</f>
        <v/>
      </c>
      <c r="I119" s="18" t="n"/>
      <c r="J119" s="18" t="n"/>
      <c r="K119" s="18" t="n"/>
    </row>
    <row r="120">
      <c r="A120" s="18" t="n"/>
      <c r="B120" s="18" t="n"/>
      <c r="C120" s="21" t="n"/>
      <c r="D120" s="22">
        <f>IF(C120="","",C120-60)</f>
        <v/>
      </c>
      <c r="E120" s="22">
        <f>IF(C120="","",C120-30)</f>
        <v/>
      </c>
      <c r="F120" s="22">
        <f>IF(C120="","",C120-7)</f>
        <v/>
      </c>
      <c r="G120" s="23">
        <f>IF(C120="","",C120-TODAY())</f>
        <v/>
      </c>
      <c r="H120" s="20">
        <f>IF(OR(C120="",K120="Renovado",K120="No renueva"),"",IF(G120&lt;0,"Vencido: llamar",IF(G120=0,"Hoy vence: llamada personal",IF(G120&lt;=7,"Recordatorio con enlace para renovar",IF(G120&lt;=30,"Enviar propuesta de renovación",IF(G120&lt;=60,"Aviso de vencimiento y resumen","Nada todavía"))))))</f>
        <v/>
      </c>
      <c r="I120" s="18" t="n"/>
      <c r="J120" s="18" t="n"/>
      <c r="K120" s="18" t="n"/>
    </row>
    <row r="121">
      <c r="A121" s="18" t="n"/>
      <c r="B121" s="18" t="n"/>
      <c r="C121" s="21" t="n"/>
      <c r="D121" s="22">
        <f>IF(C121="","",C121-60)</f>
        <v/>
      </c>
      <c r="E121" s="22">
        <f>IF(C121="","",C121-30)</f>
        <v/>
      </c>
      <c r="F121" s="22">
        <f>IF(C121="","",C121-7)</f>
        <v/>
      </c>
      <c r="G121" s="23">
        <f>IF(C121="","",C121-TODAY())</f>
        <v/>
      </c>
      <c r="H121" s="20">
        <f>IF(OR(C121="",K121="Renovado",K121="No renueva"),"",IF(G121&lt;0,"Vencido: llamar",IF(G121=0,"Hoy vence: llamada personal",IF(G121&lt;=7,"Recordatorio con enlace para renovar",IF(G121&lt;=30,"Enviar propuesta de renovación",IF(G121&lt;=60,"Aviso de vencimiento y resumen","Nada todavía"))))))</f>
        <v/>
      </c>
      <c r="I121" s="18" t="n"/>
      <c r="J121" s="18" t="n"/>
      <c r="K121" s="18" t="n"/>
    </row>
    <row r="122">
      <c r="A122" s="18" t="n"/>
      <c r="B122" s="18" t="n"/>
      <c r="C122" s="21" t="n"/>
      <c r="D122" s="22">
        <f>IF(C122="","",C122-60)</f>
        <v/>
      </c>
      <c r="E122" s="22">
        <f>IF(C122="","",C122-30)</f>
        <v/>
      </c>
      <c r="F122" s="22">
        <f>IF(C122="","",C122-7)</f>
        <v/>
      </c>
      <c r="G122" s="23">
        <f>IF(C122="","",C122-TODAY())</f>
        <v/>
      </c>
      <c r="H122" s="20">
        <f>IF(OR(C122="",K122="Renovado",K122="No renueva"),"",IF(G122&lt;0,"Vencido: llamar",IF(G122=0,"Hoy vence: llamada personal",IF(G122&lt;=7,"Recordatorio con enlace para renovar",IF(G122&lt;=30,"Enviar propuesta de renovación",IF(G122&lt;=60,"Aviso de vencimiento y resumen","Nada todavía"))))))</f>
        <v/>
      </c>
      <c r="I122" s="18" t="n"/>
      <c r="J122" s="18" t="n"/>
      <c r="K122" s="18" t="n"/>
    </row>
    <row r="123">
      <c r="A123" s="18" t="n"/>
      <c r="B123" s="18" t="n"/>
      <c r="C123" s="21" t="n"/>
      <c r="D123" s="22">
        <f>IF(C123="","",C123-60)</f>
        <v/>
      </c>
      <c r="E123" s="22">
        <f>IF(C123="","",C123-30)</f>
        <v/>
      </c>
      <c r="F123" s="22">
        <f>IF(C123="","",C123-7)</f>
        <v/>
      </c>
      <c r="G123" s="23">
        <f>IF(C123="","",C123-TODAY())</f>
        <v/>
      </c>
      <c r="H123" s="20">
        <f>IF(OR(C123="",K123="Renovado",K123="No renueva"),"",IF(G123&lt;0,"Vencido: llamar",IF(G123=0,"Hoy vence: llamada personal",IF(G123&lt;=7,"Recordatorio con enlace para renovar",IF(G123&lt;=30,"Enviar propuesta de renovación",IF(G123&lt;=60,"Aviso de vencimiento y resumen","Nada todavía"))))))</f>
        <v/>
      </c>
      <c r="I123" s="18" t="n"/>
      <c r="J123" s="18" t="n"/>
      <c r="K123" s="18" t="n"/>
    </row>
    <row r="124">
      <c r="A124" s="18" t="n"/>
      <c r="B124" s="18" t="n"/>
      <c r="C124" s="21" t="n"/>
      <c r="D124" s="22">
        <f>IF(C124="","",C124-60)</f>
        <v/>
      </c>
      <c r="E124" s="22">
        <f>IF(C124="","",C124-30)</f>
        <v/>
      </c>
      <c r="F124" s="22">
        <f>IF(C124="","",C124-7)</f>
        <v/>
      </c>
      <c r="G124" s="23">
        <f>IF(C124="","",C124-TODAY())</f>
        <v/>
      </c>
      <c r="H124" s="20">
        <f>IF(OR(C124="",K124="Renovado",K124="No renueva"),"",IF(G124&lt;0,"Vencido: llamar",IF(G124=0,"Hoy vence: llamada personal",IF(G124&lt;=7,"Recordatorio con enlace para renovar",IF(G124&lt;=30,"Enviar propuesta de renovación",IF(G124&lt;=60,"Aviso de vencimiento y resumen","Nada todavía"))))))</f>
        <v/>
      </c>
      <c r="I124" s="18" t="n"/>
      <c r="J124" s="18" t="n"/>
      <c r="K124" s="18" t="n"/>
    </row>
    <row r="125">
      <c r="A125" s="18" t="n"/>
      <c r="B125" s="18" t="n"/>
      <c r="C125" s="21" t="n"/>
      <c r="D125" s="22">
        <f>IF(C125="","",C125-60)</f>
        <v/>
      </c>
      <c r="E125" s="22">
        <f>IF(C125="","",C125-30)</f>
        <v/>
      </c>
      <c r="F125" s="22">
        <f>IF(C125="","",C125-7)</f>
        <v/>
      </c>
      <c r="G125" s="23">
        <f>IF(C125="","",C125-TODAY())</f>
        <v/>
      </c>
      <c r="H125" s="20">
        <f>IF(OR(C125="",K125="Renovado",K125="No renueva"),"",IF(G125&lt;0,"Vencido: llamar",IF(G125=0,"Hoy vence: llamada personal",IF(G125&lt;=7,"Recordatorio con enlace para renovar",IF(G125&lt;=30,"Enviar propuesta de renovación",IF(G125&lt;=60,"Aviso de vencimiento y resumen","Nada todavía"))))))</f>
        <v/>
      </c>
      <c r="I125" s="18" t="n"/>
      <c r="J125" s="18" t="n"/>
      <c r="K125" s="18" t="n"/>
    </row>
    <row r="126">
      <c r="A126" s="18" t="n"/>
      <c r="B126" s="18" t="n"/>
      <c r="C126" s="21" t="n"/>
      <c r="D126" s="22">
        <f>IF(C126="","",C126-60)</f>
        <v/>
      </c>
      <c r="E126" s="22">
        <f>IF(C126="","",C126-30)</f>
        <v/>
      </c>
      <c r="F126" s="22">
        <f>IF(C126="","",C126-7)</f>
        <v/>
      </c>
      <c r="G126" s="23">
        <f>IF(C126="","",C126-TODAY())</f>
        <v/>
      </c>
      <c r="H126" s="20">
        <f>IF(OR(C126="",K126="Renovado",K126="No renueva"),"",IF(G126&lt;0,"Vencido: llamar",IF(G126=0,"Hoy vence: llamada personal",IF(G126&lt;=7,"Recordatorio con enlace para renovar",IF(G126&lt;=30,"Enviar propuesta de renovación",IF(G126&lt;=60,"Aviso de vencimiento y resumen","Nada todavía"))))))</f>
        <v/>
      </c>
      <c r="I126" s="18" t="n"/>
      <c r="J126" s="18" t="n"/>
      <c r="K126" s="18" t="n"/>
    </row>
    <row r="127">
      <c r="A127" s="18" t="n"/>
      <c r="B127" s="18" t="n"/>
      <c r="C127" s="21" t="n"/>
      <c r="D127" s="22">
        <f>IF(C127="","",C127-60)</f>
        <v/>
      </c>
      <c r="E127" s="22">
        <f>IF(C127="","",C127-30)</f>
        <v/>
      </c>
      <c r="F127" s="22">
        <f>IF(C127="","",C127-7)</f>
        <v/>
      </c>
      <c r="G127" s="23">
        <f>IF(C127="","",C127-TODAY())</f>
        <v/>
      </c>
      <c r="H127" s="20">
        <f>IF(OR(C127="",K127="Renovado",K127="No renueva"),"",IF(G127&lt;0,"Vencido: llamar",IF(G127=0,"Hoy vence: llamada personal",IF(G127&lt;=7,"Recordatorio con enlace para renovar",IF(G127&lt;=30,"Enviar propuesta de renovación",IF(G127&lt;=60,"Aviso de vencimiento y resumen","Nada todavía"))))))</f>
        <v/>
      </c>
      <c r="I127" s="18" t="n"/>
      <c r="J127" s="18" t="n"/>
      <c r="K127" s="18" t="n"/>
    </row>
    <row r="128">
      <c r="A128" s="18" t="n"/>
      <c r="B128" s="18" t="n"/>
      <c r="C128" s="21" t="n"/>
      <c r="D128" s="22">
        <f>IF(C128="","",C128-60)</f>
        <v/>
      </c>
      <c r="E128" s="22">
        <f>IF(C128="","",C128-30)</f>
        <v/>
      </c>
      <c r="F128" s="22">
        <f>IF(C128="","",C128-7)</f>
        <v/>
      </c>
      <c r="G128" s="23">
        <f>IF(C128="","",C128-TODAY())</f>
        <v/>
      </c>
      <c r="H128" s="20">
        <f>IF(OR(C128="",K128="Renovado",K128="No renueva"),"",IF(G128&lt;0,"Vencido: llamar",IF(G128=0,"Hoy vence: llamada personal",IF(G128&lt;=7,"Recordatorio con enlace para renovar",IF(G128&lt;=30,"Enviar propuesta de renovación",IF(G128&lt;=60,"Aviso de vencimiento y resumen","Nada todavía"))))))</f>
        <v/>
      </c>
      <c r="I128" s="18" t="n"/>
      <c r="J128" s="18" t="n"/>
      <c r="K128" s="18" t="n"/>
    </row>
    <row r="129">
      <c r="A129" s="18" t="n"/>
      <c r="B129" s="18" t="n"/>
      <c r="C129" s="21" t="n"/>
      <c r="D129" s="22">
        <f>IF(C129="","",C129-60)</f>
        <v/>
      </c>
      <c r="E129" s="22">
        <f>IF(C129="","",C129-30)</f>
        <v/>
      </c>
      <c r="F129" s="22">
        <f>IF(C129="","",C129-7)</f>
        <v/>
      </c>
      <c r="G129" s="23">
        <f>IF(C129="","",C129-TODAY())</f>
        <v/>
      </c>
      <c r="H129" s="20">
        <f>IF(OR(C129="",K129="Renovado",K129="No renueva"),"",IF(G129&lt;0,"Vencido: llamar",IF(G129=0,"Hoy vence: llamada personal",IF(G129&lt;=7,"Recordatorio con enlace para renovar",IF(G129&lt;=30,"Enviar propuesta de renovación",IF(G129&lt;=60,"Aviso de vencimiento y resumen","Nada todavía"))))))</f>
        <v/>
      </c>
      <c r="I129" s="18" t="n"/>
      <c r="J129" s="18" t="n"/>
      <c r="K129" s="18" t="n"/>
    </row>
    <row r="130">
      <c r="A130" s="18" t="n"/>
      <c r="B130" s="18" t="n"/>
      <c r="C130" s="21" t="n"/>
      <c r="D130" s="22">
        <f>IF(C130="","",C130-60)</f>
        <v/>
      </c>
      <c r="E130" s="22">
        <f>IF(C130="","",C130-30)</f>
        <v/>
      </c>
      <c r="F130" s="22">
        <f>IF(C130="","",C130-7)</f>
        <v/>
      </c>
      <c r="G130" s="23">
        <f>IF(C130="","",C130-TODAY())</f>
        <v/>
      </c>
      <c r="H130" s="20">
        <f>IF(OR(C130="",K130="Renovado",K130="No renueva"),"",IF(G130&lt;0,"Vencido: llamar",IF(G130=0,"Hoy vence: llamada personal",IF(G130&lt;=7,"Recordatorio con enlace para renovar",IF(G130&lt;=30,"Enviar propuesta de renovación",IF(G130&lt;=60,"Aviso de vencimiento y resumen","Nada todavía"))))))</f>
        <v/>
      </c>
      <c r="I130" s="18" t="n"/>
      <c r="J130" s="18" t="n"/>
      <c r="K130" s="18" t="n"/>
    </row>
    <row r="131">
      <c r="A131" s="18" t="n"/>
      <c r="B131" s="18" t="n"/>
      <c r="C131" s="21" t="n"/>
      <c r="D131" s="22">
        <f>IF(C131="","",C131-60)</f>
        <v/>
      </c>
      <c r="E131" s="22">
        <f>IF(C131="","",C131-30)</f>
        <v/>
      </c>
      <c r="F131" s="22">
        <f>IF(C131="","",C131-7)</f>
        <v/>
      </c>
      <c r="G131" s="23">
        <f>IF(C131="","",C131-TODAY())</f>
        <v/>
      </c>
      <c r="H131" s="20">
        <f>IF(OR(C131="",K131="Renovado",K131="No renueva"),"",IF(G131&lt;0,"Vencido: llamar",IF(G131=0,"Hoy vence: llamada personal",IF(G131&lt;=7,"Recordatorio con enlace para renovar",IF(G131&lt;=30,"Enviar propuesta de renovación",IF(G131&lt;=60,"Aviso de vencimiento y resumen","Nada todavía"))))))</f>
        <v/>
      </c>
      <c r="I131" s="18" t="n"/>
      <c r="J131" s="18" t="n"/>
      <c r="K131" s="18" t="n"/>
    </row>
    <row r="132">
      <c r="A132" s="18" t="n"/>
      <c r="B132" s="18" t="n"/>
      <c r="C132" s="21" t="n"/>
      <c r="D132" s="22">
        <f>IF(C132="","",C132-60)</f>
        <v/>
      </c>
      <c r="E132" s="22">
        <f>IF(C132="","",C132-30)</f>
        <v/>
      </c>
      <c r="F132" s="22">
        <f>IF(C132="","",C132-7)</f>
        <v/>
      </c>
      <c r="G132" s="23">
        <f>IF(C132="","",C132-TODAY())</f>
        <v/>
      </c>
      <c r="H132" s="20">
        <f>IF(OR(C132="",K132="Renovado",K132="No renueva"),"",IF(G132&lt;0,"Vencido: llamar",IF(G132=0,"Hoy vence: llamada personal",IF(G132&lt;=7,"Recordatorio con enlace para renovar",IF(G132&lt;=30,"Enviar propuesta de renovación",IF(G132&lt;=60,"Aviso de vencimiento y resumen","Nada todavía"))))))</f>
        <v/>
      </c>
      <c r="I132" s="18" t="n"/>
      <c r="J132" s="18" t="n"/>
      <c r="K132" s="18" t="n"/>
    </row>
    <row r="133">
      <c r="A133" s="18" t="n"/>
      <c r="B133" s="18" t="n"/>
      <c r="C133" s="21" t="n"/>
      <c r="D133" s="22">
        <f>IF(C133="","",C133-60)</f>
        <v/>
      </c>
      <c r="E133" s="22">
        <f>IF(C133="","",C133-30)</f>
        <v/>
      </c>
      <c r="F133" s="22">
        <f>IF(C133="","",C133-7)</f>
        <v/>
      </c>
      <c r="G133" s="23">
        <f>IF(C133="","",C133-TODAY())</f>
        <v/>
      </c>
      <c r="H133" s="20">
        <f>IF(OR(C133="",K133="Renovado",K133="No renueva"),"",IF(G133&lt;0,"Vencido: llamar",IF(G133=0,"Hoy vence: llamada personal",IF(G133&lt;=7,"Recordatorio con enlace para renovar",IF(G133&lt;=30,"Enviar propuesta de renovación",IF(G133&lt;=60,"Aviso de vencimiento y resumen","Nada todavía"))))))</f>
        <v/>
      </c>
      <c r="I133" s="18" t="n"/>
      <c r="J133" s="18" t="n"/>
      <c r="K133" s="18" t="n"/>
    </row>
    <row r="134">
      <c r="A134" s="18" t="n"/>
      <c r="B134" s="18" t="n"/>
      <c r="C134" s="21" t="n"/>
      <c r="D134" s="22">
        <f>IF(C134="","",C134-60)</f>
        <v/>
      </c>
      <c r="E134" s="22">
        <f>IF(C134="","",C134-30)</f>
        <v/>
      </c>
      <c r="F134" s="22">
        <f>IF(C134="","",C134-7)</f>
        <v/>
      </c>
      <c r="G134" s="23">
        <f>IF(C134="","",C134-TODAY())</f>
        <v/>
      </c>
      <c r="H134" s="20">
        <f>IF(OR(C134="",K134="Renovado",K134="No renueva"),"",IF(G134&lt;0,"Vencido: llamar",IF(G134=0,"Hoy vence: llamada personal",IF(G134&lt;=7,"Recordatorio con enlace para renovar",IF(G134&lt;=30,"Enviar propuesta de renovación",IF(G134&lt;=60,"Aviso de vencimiento y resumen","Nada todavía"))))))</f>
        <v/>
      </c>
      <c r="I134" s="18" t="n"/>
      <c r="J134" s="18" t="n"/>
      <c r="K134" s="18" t="n"/>
    </row>
    <row r="135">
      <c r="A135" s="18" t="n"/>
      <c r="B135" s="18" t="n"/>
      <c r="C135" s="21" t="n"/>
      <c r="D135" s="22">
        <f>IF(C135="","",C135-60)</f>
        <v/>
      </c>
      <c r="E135" s="22">
        <f>IF(C135="","",C135-30)</f>
        <v/>
      </c>
      <c r="F135" s="22">
        <f>IF(C135="","",C135-7)</f>
        <v/>
      </c>
      <c r="G135" s="23">
        <f>IF(C135="","",C135-TODAY())</f>
        <v/>
      </c>
      <c r="H135" s="20">
        <f>IF(OR(C135="",K135="Renovado",K135="No renueva"),"",IF(G135&lt;0,"Vencido: llamar",IF(G135=0,"Hoy vence: llamada personal",IF(G135&lt;=7,"Recordatorio con enlace para renovar",IF(G135&lt;=30,"Enviar propuesta de renovación",IF(G135&lt;=60,"Aviso de vencimiento y resumen","Nada todavía"))))))</f>
        <v/>
      </c>
      <c r="I135" s="18" t="n"/>
      <c r="J135" s="18" t="n"/>
      <c r="K135" s="18" t="n"/>
    </row>
    <row r="136">
      <c r="A136" s="18" t="n"/>
      <c r="B136" s="18" t="n"/>
      <c r="C136" s="21" t="n"/>
      <c r="D136" s="22">
        <f>IF(C136="","",C136-60)</f>
        <v/>
      </c>
      <c r="E136" s="22">
        <f>IF(C136="","",C136-30)</f>
        <v/>
      </c>
      <c r="F136" s="22">
        <f>IF(C136="","",C136-7)</f>
        <v/>
      </c>
      <c r="G136" s="23">
        <f>IF(C136="","",C136-TODAY())</f>
        <v/>
      </c>
      <c r="H136" s="20">
        <f>IF(OR(C136="",K136="Renovado",K136="No renueva"),"",IF(G136&lt;0,"Vencido: llamar",IF(G136=0,"Hoy vence: llamada personal",IF(G136&lt;=7,"Recordatorio con enlace para renovar",IF(G136&lt;=30,"Enviar propuesta de renovación",IF(G136&lt;=60,"Aviso de vencimiento y resumen","Nada todavía"))))))</f>
        <v/>
      </c>
      <c r="I136" s="18" t="n"/>
      <c r="J136" s="18" t="n"/>
      <c r="K136" s="18" t="n"/>
    </row>
    <row r="137">
      <c r="A137" s="18" t="n"/>
      <c r="B137" s="18" t="n"/>
      <c r="C137" s="21" t="n"/>
      <c r="D137" s="22">
        <f>IF(C137="","",C137-60)</f>
        <v/>
      </c>
      <c r="E137" s="22">
        <f>IF(C137="","",C137-30)</f>
        <v/>
      </c>
      <c r="F137" s="22">
        <f>IF(C137="","",C137-7)</f>
        <v/>
      </c>
      <c r="G137" s="23">
        <f>IF(C137="","",C137-TODAY())</f>
        <v/>
      </c>
      <c r="H137" s="20">
        <f>IF(OR(C137="",K137="Renovado",K137="No renueva"),"",IF(G137&lt;0,"Vencido: llamar",IF(G137=0,"Hoy vence: llamada personal",IF(G137&lt;=7,"Recordatorio con enlace para renovar",IF(G137&lt;=30,"Enviar propuesta de renovación",IF(G137&lt;=60,"Aviso de vencimiento y resumen","Nada todavía"))))))</f>
        <v/>
      </c>
      <c r="I137" s="18" t="n"/>
      <c r="J137" s="18" t="n"/>
      <c r="K137" s="18" t="n"/>
    </row>
    <row r="138">
      <c r="A138" s="18" t="n"/>
      <c r="B138" s="18" t="n"/>
      <c r="C138" s="21" t="n"/>
      <c r="D138" s="22">
        <f>IF(C138="","",C138-60)</f>
        <v/>
      </c>
      <c r="E138" s="22">
        <f>IF(C138="","",C138-30)</f>
        <v/>
      </c>
      <c r="F138" s="22">
        <f>IF(C138="","",C138-7)</f>
        <v/>
      </c>
      <c r="G138" s="23">
        <f>IF(C138="","",C138-TODAY())</f>
        <v/>
      </c>
      <c r="H138" s="20">
        <f>IF(OR(C138="",K138="Renovado",K138="No renueva"),"",IF(G138&lt;0,"Vencido: llamar",IF(G138=0,"Hoy vence: llamada personal",IF(G138&lt;=7,"Recordatorio con enlace para renovar",IF(G138&lt;=30,"Enviar propuesta de renovación",IF(G138&lt;=60,"Aviso de vencimiento y resumen","Nada todavía"))))))</f>
        <v/>
      </c>
      <c r="I138" s="18" t="n"/>
      <c r="J138" s="18" t="n"/>
      <c r="K138" s="18" t="n"/>
    </row>
    <row r="139">
      <c r="A139" s="18" t="n"/>
      <c r="B139" s="18" t="n"/>
      <c r="C139" s="21" t="n"/>
      <c r="D139" s="22">
        <f>IF(C139="","",C139-60)</f>
        <v/>
      </c>
      <c r="E139" s="22">
        <f>IF(C139="","",C139-30)</f>
        <v/>
      </c>
      <c r="F139" s="22">
        <f>IF(C139="","",C139-7)</f>
        <v/>
      </c>
      <c r="G139" s="23">
        <f>IF(C139="","",C139-TODAY())</f>
        <v/>
      </c>
      <c r="H139" s="20">
        <f>IF(OR(C139="",K139="Renovado",K139="No renueva"),"",IF(G139&lt;0,"Vencido: llamar",IF(G139=0,"Hoy vence: llamada personal",IF(G139&lt;=7,"Recordatorio con enlace para renovar",IF(G139&lt;=30,"Enviar propuesta de renovación",IF(G139&lt;=60,"Aviso de vencimiento y resumen","Nada todavía"))))))</f>
        <v/>
      </c>
      <c r="I139" s="18" t="n"/>
      <c r="J139" s="18" t="n"/>
      <c r="K139" s="18" t="n"/>
    </row>
    <row r="140">
      <c r="A140" s="18" t="n"/>
      <c r="B140" s="18" t="n"/>
      <c r="C140" s="21" t="n"/>
      <c r="D140" s="22">
        <f>IF(C140="","",C140-60)</f>
        <v/>
      </c>
      <c r="E140" s="22">
        <f>IF(C140="","",C140-30)</f>
        <v/>
      </c>
      <c r="F140" s="22">
        <f>IF(C140="","",C140-7)</f>
        <v/>
      </c>
      <c r="G140" s="23">
        <f>IF(C140="","",C140-TODAY())</f>
        <v/>
      </c>
      <c r="H140" s="20">
        <f>IF(OR(C140="",K140="Renovado",K140="No renueva"),"",IF(G140&lt;0,"Vencido: llamar",IF(G140=0,"Hoy vence: llamada personal",IF(G140&lt;=7,"Recordatorio con enlace para renovar",IF(G140&lt;=30,"Enviar propuesta de renovación",IF(G140&lt;=60,"Aviso de vencimiento y resumen","Nada todavía"))))))</f>
        <v/>
      </c>
      <c r="I140" s="18" t="n"/>
      <c r="J140" s="18" t="n"/>
      <c r="K140" s="18" t="n"/>
    </row>
    <row r="141">
      <c r="A141" s="18" t="n"/>
      <c r="B141" s="18" t="n"/>
      <c r="C141" s="21" t="n"/>
      <c r="D141" s="22">
        <f>IF(C141="","",C141-60)</f>
        <v/>
      </c>
      <c r="E141" s="22">
        <f>IF(C141="","",C141-30)</f>
        <v/>
      </c>
      <c r="F141" s="22">
        <f>IF(C141="","",C141-7)</f>
        <v/>
      </c>
      <c r="G141" s="23">
        <f>IF(C141="","",C141-TODAY())</f>
        <v/>
      </c>
      <c r="H141" s="20">
        <f>IF(OR(C141="",K141="Renovado",K141="No renueva"),"",IF(G141&lt;0,"Vencido: llamar",IF(G141=0,"Hoy vence: llamada personal",IF(G141&lt;=7,"Recordatorio con enlace para renovar",IF(G141&lt;=30,"Enviar propuesta de renovación",IF(G141&lt;=60,"Aviso de vencimiento y resumen","Nada todavía"))))))</f>
        <v/>
      </c>
      <c r="I141" s="18" t="n"/>
      <c r="J141" s="18" t="n"/>
      <c r="K141" s="18" t="n"/>
    </row>
    <row r="142">
      <c r="A142" s="18" t="n"/>
      <c r="B142" s="18" t="n"/>
      <c r="C142" s="21" t="n"/>
      <c r="D142" s="22">
        <f>IF(C142="","",C142-60)</f>
        <v/>
      </c>
      <c r="E142" s="22">
        <f>IF(C142="","",C142-30)</f>
        <v/>
      </c>
      <c r="F142" s="22">
        <f>IF(C142="","",C142-7)</f>
        <v/>
      </c>
      <c r="G142" s="23">
        <f>IF(C142="","",C142-TODAY())</f>
        <v/>
      </c>
      <c r="H142" s="20">
        <f>IF(OR(C142="",K142="Renovado",K142="No renueva"),"",IF(G142&lt;0,"Vencido: llamar",IF(G142=0,"Hoy vence: llamada personal",IF(G142&lt;=7,"Recordatorio con enlace para renovar",IF(G142&lt;=30,"Enviar propuesta de renovación",IF(G142&lt;=60,"Aviso de vencimiento y resumen","Nada todavía"))))))</f>
        <v/>
      </c>
      <c r="I142" s="18" t="n"/>
      <c r="J142" s="18" t="n"/>
      <c r="K142" s="18" t="n"/>
    </row>
    <row r="143">
      <c r="A143" s="18" t="n"/>
      <c r="B143" s="18" t="n"/>
      <c r="C143" s="21" t="n"/>
      <c r="D143" s="22">
        <f>IF(C143="","",C143-60)</f>
        <v/>
      </c>
      <c r="E143" s="22">
        <f>IF(C143="","",C143-30)</f>
        <v/>
      </c>
      <c r="F143" s="22">
        <f>IF(C143="","",C143-7)</f>
        <v/>
      </c>
      <c r="G143" s="23">
        <f>IF(C143="","",C143-TODAY())</f>
        <v/>
      </c>
      <c r="H143" s="20">
        <f>IF(OR(C143="",K143="Renovado",K143="No renueva"),"",IF(G143&lt;0,"Vencido: llamar",IF(G143=0,"Hoy vence: llamada personal",IF(G143&lt;=7,"Recordatorio con enlace para renovar",IF(G143&lt;=30,"Enviar propuesta de renovación",IF(G143&lt;=60,"Aviso de vencimiento y resumen","Nada todavía"))))))</f>
        <v/>
      </c>
      <c r="I143" s="18" t="n"/>
      <c r="J143" s="18" t="n"/>
      <c r="K143" s="18" t="n"/>
    </row>
    <row r="144">
      <c r="A144" s="18" t="n"/>
      <c r="B144" s="18" t="n"/>
      <c r="C144" s="21" t="n"/>
      <c r="D144" s="22">
        <f>IF(C144="","",C144-60)</f>
        <v/>
      </c>
      <c r="E144" s="22">
        <f>IF(C144="","",C144-30)</f>
        <v/>
      </c>
      <c r="F144" s="22">
        <f>IF(C144="","",C144-7)</f>
        <v/>
      </c>
      <c r="G144" s="23">
        <f>IF(C144="","",C144-TODAY())</f>
        <v/>
      </c>
      <c r="H144" s="20">
        <f>IF(OR(C144="",K144="Renovado",K144="No renueva"),"",IF(G144&lt;0,"Vencido: llamar",IF(G144=0,"Hoy vence: llamada personal",IF(G144&lt;=7,"Recordatorio con enlace para renovar",IF(G144&lt;=30,"Enviar propuesta de renovación",IF(G144&lt;=60,"Aviso de vencimiento y resumen","Nada todavía"))))))</f>
        <v/>
      </c>
      <c r="I144" s="18" t="n"/>
      <c r="J144" s="18" t="n"/>
      <c r="K144" s="18" t="n"/>
    </row>
    <row r="145">
      <c r="A145" s="18" t="n"/>
      <c r="B145" s="18" t="n"/>
      <c r="C145" s="21" t="n"/>
      <c r="D145" s="22">
        <f>IF(C145="","",C145-60)</f>
        <v/>
      </c>
      <c r="E145" s="22">
        <f>IF(C145="","",C145-30)</f>
        <v/>
      </c>
      <c r="F145" s="22">
        <f>IF(C145="","",C145-7)</f>
        <v/>
      </c>
      <c r="G145" s="23">
        <f>IF(C145="","",C145-TODAY())</f>
        <v/>
      </c>
      <c r="H145" s="20">
        <f>IF(OR(C145="",K145="Renovado",K145="No renueva"),"",IF(G145&lt;0,"Vencido: llamar",IF(G145=0,"Hoy vence: llamada personal",IF(G145&lt;=7,"Recordatorio con enlace para renovar",IF(G145&lt;=30,"Enviar propuesta de renovación",IF(G145&lt;=60,"Aviso de vencimiento y resumen","Nada todavía"))))))</f>
        <v/>
      </c>
      <c r="I145" s="18" t="n"/>
      <c r="J145" s="18" t="n"/>
      <c r="K145" s="18" t="n"/>
    </row>
    <row r="146">
      <c r="A146" s="18" t="n"/>
      <c r="B146" s="18" t="n"/>
      <c r="C146" s="21" t="n"/>
      <c r="D146" s="22">
        <f>IF(C146="","",C146-60)</f>
        <v/>
      </c>
      <c r="E146" s="22">
        <f>IF(C146="","",C146-30)</f>
        <v/>
      </c>
      <c r="F146" s="22">
        <f>IF(C146="","",C146-7)</f>
        <v/>
      </c>
      <c r="G146" s="23">
        <f>IF(C146="","",C146-TODAY())</f>
        <v/>
      </c>
      <c r="H146" s="20">
        <f>IF(OR(C146="",K146="Renovado",K146="No renueva"),"",IF(G146&lt;0,"Vencido: llamar",IF(G146=0,"Hoy vence: llamada personal",IF(G146&lt;=7,"Recordatorio con enlace para renovar",IF(G146&lt;=30,"Enviar propuesta de renovación",IF(G146&lt;=60,"Aviso de vencimiento y resumen","Nada todavía"))))))</f>
        <v/>
      </c>
      <c r="I146" s="18" t="n"/>
      <c r="J146" s="18" t="n"/>
      <c r="K146" s="18" t="n"/>
    </row>
    <row r="147">
      <c r="A147" s="18" t="n"/>
      <c r="B147" s="18" t="n"/>
      <c r="C147" s="21" t="n"/>
      <c r="D147" s="22">
        <f>IF(C147="","",C147-60)</f>
        <v/>
      </c>
      <c r="E147" s="22">
        <f>IF(C147="","",C147-30)</f>
        <v/>
      </c>
      <c r="F147" s="22">
        <f>IF(C147="","",C147-7)</f>
        <v/>
      </c>
      <c r="G147" s="23">
        <f>IF(C147="","",C147-TODAY())</f>
        <v/>
      </c>
      <c r="H147" s="20">
        <f>IF(OR(C147="",K147="Renovado",K147="No renueva"),"",IF(G147&lt;0,"Vencido: llamar",IF(G147=0,"Hoy vence: llamada personal",IF(G147&lt;=7,"Recordatorio con enlace para renovar",IF(G147&lt;=30,"Enviar propuesta de renovación",IF(G147&lt;=60,"Aviso de vencimiento y resumen","Nada todavía"))))))</f>
        <v/>
      </c>
      <c r="I147" s="18" t="n"/>
      <c r="J147" s="18" t="n"/>
      <c r="K147" s="18" t="n"/>
    </row>
    <row r="148">
      <c r="A148" s="18" t="n"/>
      <c r="B148" s="18" t="n"/>
      <c r="C148" s="21" t="n"/>
      <c r="D148" s="22">
        <f>IF(C148="","",C148-60)</f>
        <v/>
      </c>
      <c r="E148" s="22">
        <f>IF(C148="","",C148-30)</f>
        <v/>
      </c>
      <c r="F148" s="22">
        <f>IF(C148="","",C148-7)</f>
        <v/>
      </c>
      <c r="G148" s="23">
        <f>IF(C148="","",C148-TODAY())</f>
        <v/>
      </c>
      <c r="H148" s="20">
        <f>IF(OR(C148="",K148="Renovado",K148="No renueva"),"",IF(G148&lt;0,"Vencido: llamar",IF(G148=0,"Hoy vence: llamada personal",IF(G148&lt;=7,"Recordatorio con enlace para renovar",IF(G148&lt;=30,"Enviar propuesta de renovación",IF(G148&lt;=60,"Aviso de vencimiento y resumen","Nada todavía"))))))</f>
        <v/>
      </c>
      <c r="I148" s="18" t="n"/>
      <c r="J148" s="18" t="n"/>
      <c r="K148" s="18" t="n"/>
    </row>
    <row r="149">
      <c r="A149" s="18" t="n"/>
      <c r="B149" s="18" t="n"/>
      <c r="C149" s="21" t="n"/>
      <c r="D149" s="22">
        <f>IF(C149="","",C149-60)</f>
        <v/>
      </c>
      <c r="E149" s="22">
        <f>IF(C149="","",C149-30)</f>
        <v/>
      </c>
      <c r="F149" s="22">
        <f>IF(C149="","",C149-7)</f>
        <v/>
      </c>
      <c r="G149" s="23">
        <f>IF(C149="","",C149-TODAY())</f>
        <v/>
      </c>
      <c r="H149" s="20">
        <f>IF(OR(C149="",K149="Renovado",K149="No renueva"),"",IF(G149&lt;0,"Vencido: llamar",IF(G149=0,"Hoy vence: llamada personal",IF(G149&lt;=7,"Recordatorio con enlace para renovar",IF(G149&lt;=30,"Enviar propuesta de renovación",IF(G149&lt;=60,"Aviso de vencimiento y resumen","Nada todavía"))))))</f>
        <v/>
      </c>
      <c r="I149" s="18" t="n"/>
      <c r="J149" s="18" t="n"/>
      <c r="K149" s="18" t="n"/>
    </row>
    <row r="150">
      <c r="A150" s="18" t="n"/>
      <c r="B150" s="18" t="n"/>
      <c r="C150" s="21" t="n"/>
      <c r="D150" s="22">
        <f>IF(C150="","",C150-60)</f>
        <v/>
      </c>
      <c r="E150" s="22">
        <f>IF(C150="","",C150-30)</f>
        <v/>
      </c>
      <c r="F150" s="22">
        <f>IF(C150="","",C150-7)</f>
        <v/>
      </c>
      <c r="G150" s="23">
        <f>IF(C150="","",C150-TODAY())</f>
        <v/>
      </c>
      <c r="H150" s="20">
        <f>IF(OR(C150="",K150="Renovado",K150="No renueva"),"",IF(G150&lt;0,"Vencido: llamar",IF(G150=0,"Hoy vence: llamada personal",IF(G150&lt;=7,"Recordatorio con enlace para renovar",IF(G150&lt;=30,"Enviar propuesta de renovación",IF(G150&lt;=60,"Aviso de vencimiento y resumen","Nada todavía"))))))</f>
        <v/>
      </c>
      <c r="I150" s="18" t="n"/>
      <c r="J150" s="18" t="n"/>
      <c r="K150" s="18" t="n"/>
    </row>
    <row r="151">
      <c r="A151" s="18" t="n"/>
      <c r="B151" s="18" t="n"/>
      <c r="C151" s="21" t="n"/>
      <c r="D151" s="22">
        <f>IF(C151="","",C151-60)</f>
        <v/>
      </c>
      <c r="E151" s="22">
        <f>IF(C151="","",C151-30)</f>
        <v/>
      </c>
      <c r="F151" s="22">
        <f>IF(C151="","",C151-7)</f>
        <v/>
      </c>
      <c r="G151" s="23">
        <f>IF(C151="","",C151-TODAY())</f>
        <v/>
      </c>
      <c r="H151" s="20">
        <f>IF(OR(C151="",K151="Renovado",K151="No renueva"),"",IF(G151&lt;0,"Vencido: llamar",IF(G151=0,"Hoy vence: llamada personal",IF(G151&lt;=7,"Recordatorio con enlace para renovar",IF(G151&lt;=30,"Enviar propuesta de renovación",IF(G151&lt;=60,"Aviso de vencimiento y resumen","Nada todavía"))))))</f>
        <v/>
      </c>
      <c r="I151" s="18" t="n"/>
      <c r="J151" s="18" t="n"/>
      <c r="K151" s="18" t="n"/>
    </row>
    <row r="152">
      <c r="A152" s="18" t="n"/>
      <c r="B152" s="18" t="n"/>
      <c r="C152" s="21" t="n"/>
      <c r="D152" s="22">
        <f>IF(C152="","",C152-60)</f>
        <v/>
      </c>
      <c r="E152" s="22">
        <f>IF(C152="","",C152-30)</f>
        <v/>
      </c>
      <c r="F152" s="22">
        <f>IF(C152="","",C152-7)</f>
        <v/>
      </c>
      <c r="G152" s="23">
        <f>IF(C152="","",C152-TODAY())</f>
        <v/>
      </c>
      <c r="H152" s="20">
        <f>IF(OR(C152="",K152="Renovado",K152="No renueva"),"",IF(G152&lt;0,"Vencido: llamar",IF(G152=0,"Hoy vence: llamada personal",IF(G152&lt;=7,"Recordatorio con enlace para renovar",IF(G152&lt;=30,"Enviar propuesta de renovación",IF(G152&lt;=60,"Aviso de vencimiento y resumen","Nada todavía"))))))</f>
        <v/>
      </c>
      <c r="I152" s="18" t="n"/>
      <c r="J152" s="18" t="n"/>
      <c r="K152" s="18" t="n"/>
    </row>
    <row r="153">
      <c r="A153" s="18" t="n"/>
      <c r="B153" s="18" t="n"/>
      <c r="C153" s="21" t="n"/>
      <c r="D153" s="22">
        <f>IF(C153="","",C153-60)</f>
        <v/>
      </c>
      <c r="E153" s="22">
        <f>IF(C153="","",C153-30)</f>
        <v/>
      </c>
      <c r="F153" s="22">
        <f>IF(C153="","",C153-7)</f>
        <v/>
      </c>
      <c r="G153" s="23">
        <f>IF(C153="","",C153-TODAY())</f>
        <v/>
      </c>
      <c r="H153" s="20">
        <f>IF(OR(C153="",K153="Renovado",K153="No renueva"),"",IF(G153&lt;0,"Vencido: llamar",IF(G153=0,"Hoy vence: llamada personal",IF(G153&lt;=7,"Recordatorio con enlace para renovar",IF(G153&lt;=30,"Enviar propuesta de renovación",IF(G153&lt;=60,"Aviso de vencimiento y resumen","Nada todavía"))))))</f>
        <v/>
      </c>
      <c r="I153" s="18" t="n"/>
      <c r="J153" s="18" t="n"/>
      <c r="K153" s="18" t="n"/>
    </row>
    <row r="154">
      <c r="A154" s="18" t="n"/>
      <c r="B154" s="18" t="n"/>
      <c r="C154" s="21" t="n"/>
      <c r="D154" s="22">
        <f>IF(C154="","",C154-60)</f>
        <v/>
      </c>
      <c r="E154" s="22">
        <f>IF(C154="","",C154-30)</f>
        <v/>
      </c>
      <c r="F154" s="22">
        <f>IF(C154="","",C154-7)</f>
        <v/>
      </c>
      <c r="G154" s="23">
        <f>IF(C154="","",C154-TODAY())</f>
        <v/>
      </c>
      <c r="H154" s="20">
        <f>IF(OR(C154="",K154="Renovado",K154="No renueva"),"",IF(G154&lt;0,"Vencido: llamar",IF(G154=0,"Hoy vence: llamada personal",IF(G154&lt;=7,"Recordatorio con enlace para renovar",IF(G154&lt;=30,"Enviar propuesta de renovación",IF(G154&lt;=60,"Aviso de vencimiento y resumen","Nada todavía"))))))</f>
        <v/>
      </c>
      <c r="I154" s="18" t="n"/>
      <c r="J154" s="18" t="n"/>
      <c r="K154" s="18" t="n"/>
    </row>
    <row r="155">
      <c r="A155" s="18" t="n"/>
      <c r="B155" s="18" t="n"/>
      <c r="C155" s="21" t="n"/>
      <c r="D155" s="22">
        <f>IF(C155="","",C155-60)</f>
        <v/>
      </c>
      <c r="E155" s="22">
        <f>IF(C155="","",C155-30)</f>
        <v/>
      </c>
      <c r="F155" s="22">
        <f>IF(C155="","",C155-7)</f>
        <v/>
      </c>
      <c r="G155" s="23">
        <f>IF(C155="","",C155-TODAY())</f>
        <v/>
      </c>
      <c r="H155" s="20">
        <f>IF(OR(C155="",K155="Renovado",K155="No renueva"),"",IF(G155&lt;0,"Vencido: llamar",IF(G155=0,"Hoy vence: llamada personal",IF(G155&lt;=7,"Recordatorio con enlace para renovar",IF(G155&lt;=30,"Enviar propuesta de renovación",IF(G155&lt;=60,"Aviso de vencimiento y resumen","Nada todavía"))))))</f>
        <v/>
      </c>
      <c r="I155" s="18" t="n"/>
      <c r="J155" s="18" t="n"/>
      <c r="K155" s="18" t="n"/>
    </row>
    <row r="156">
      <c r="A156" s="18" t="n"/>
      <c r="B156" s="18" t="n"/>
      <c r="C156" s="21" t="n"/>
      <c r="D156" s="22">
        <f>IF(C156="","",C156-60)</f>
        <v/>
      </c>
      <c r="E156" s="22">
        <f>IF(C156="","",C156-30)</f>
        <v/>
      </c>
      <c r="F156" s="22">
        <f>IF(C156="","",C156-7)</f>
        <v/>
      </c>
      <c r="G156" s="23">
        <f>IF(C156="","",C156-TODAY())</f>
        <v/>
      </c>
      <c r="H156" s="20">
        <f>IF(OR(C156="",K156="Renovado",K156="No renueva"),"",IF(G156&lt;0,"Vencido: llamar",IF(G156=0,"Hoy vence: llamada personal",IF(G156&lt;=7,"Recordatorio con enlace para renovar",IF(G156&lt;=30,"Enviar propuesta de renovación",IF(G156&lt;=60,"Aviso de vencimiento y resumen","Nada todavía"))))))</f>
        <v/>
      </c>
      <c r="I156" s="18" t="n"/>
      <c r="J156" s="18" t="n"/>
      <c r="K156" s="18" t="n"/>
    </row>
    <row r="157">
      <c r="A157" s="18" t="n"/>
      <c r="B157" s="18" t="n"/>
      <c r="C157" s="21" t="n"/>
      <c r="D157" s="22">
        <f>IF(C157="","",C157-60)</f>
        <v/>
      </c>
      <c r="E157" s="22">
        <f>IF(C157="","",C157-30)</f>
        <v/>
      </c>
      <c r="F157" s="22">
        <f>IF(C157="","",C157-7)</f>
        <v/>
      </c>
      <c r="G157" s="23">
        <f>IF(C157="","",C157-TODAY())</f>
        <v/>
      </c>
      <c r="H157" s="20">
        <f>IF(OR(C157="",K157="Renovado",K157="No renueva"),"",IF(G157&lt;0,"Vencido: llamar",IF(G157=0,"Hoy vence: llamada personal",IF(G157&lt;=7,"Recordatorio con enlace para renovar",IF(G157&lt;=30,"Enviar propuesta de renovación",IF(G157&lt;=60,"Aviso de vencimiento y resumen","Nada todavía"))))))</f>
        <v/>
      </c>
      <c r="I157" s="18" t="n"/>
      <c r="J157" s="18" t="n"/>
      <c r="K157" s="18" t="n"/>
    </row>
    <row r="158">
      <c r="A158" s="18" t="n"/>
      <c r="B158" s="18" t="n"/>
      <c r="C158" s="21" t="n"/>
      <c r="D158" s="22">
        <f>IF(C158="","",C158-60)</f>
        <v/>
      </c>
      <c r="E158" s="22">
        <f>IF(C158="","",C158-30)</f>
        <v/>
      </c>
      <c r="F158" s="22">
        <f>IF(C158="","",C158-7)</f>
        <v/>
      </c>
      <c r="G158" s="23">
        <f>IF(C158="","",C158-TODAY())</f>
        <v/>
      </c>
      <c r="H158" s="20">
        <f>IF(OR(C158="",K158="Renovado",K158="No renueva"),"",IF(G158&lt;0,"Vencido: llamar",IF(G158=0,"Hoy vence: llamada personal",IF(G158&lt;=7,"Recordatorio con enlace para renovar",IF(G158&lt;=30,"Enviar propuesta de renovación",IF(G158&lt;=60,"Aviso de vencimiento y resumen","Nada todavía"))))))</f>
        <v/>
      </c>
      <c r="I158" s="18" t="n"/>
      <c r="J158" s="18" t="n"/>
      <c r="K158" s="18" t="n"/>
    </row>
    <row r="159">
      <c r="A159" s="18" t="n"/>
      <c r="B159" s="18" t="n"/>
      <c r="C159" s="21" t="n"/>
      <c r="D159" s="22">
        <f>IF(C159="","",C159-60)</f>
        <v/>
      </c>
      <c r="E159" s="22">
        <f>IF(C159="","",C159-30)</f>
        <v/>
      </c>
      <c r="F159" s="22">
        <f>IF(C159="","",C159-7)</f>
        <v/>
      </c>
      <c r="G159" s="23">
        <f>IF(C159="","",C159-TODAY())</f>
        <v/>
      </c>
      <c r="H159" s="20">
        <f>IF(OR(C159="",K159="Renovado",K159="No renueva"),"",IF(G159&lt;0,"Vencido: llamar",IF(G159=0,"Hoy vence: llamada personal",IF(G159&lt;=7,"Recordatorio con enlace para renovar",IF(G159&lt;=30,"Enviar propuesta de renovación",IF(G159&lt;=60,"Aviso de vencimiento y resumen","Nada todavía"))))))</f>
        <v/>
      </c>
      <c r="I159" s="18" t="n"/>
      <c r="J159" s="18" t="n"/>
      <c r="K159" s="18" t="n"/>
    </row>
    <row r="160">
      <c r="A160" s="18" t="n"/>
      <c r="B160" s="18" t="n"/>
      <c r="C160" s="21" t="n"/>
      <c r="D160" s="22">
        <f>IF(C160="","",C160-60)</f>
        <v/>
      </c>
      <c r="E160" s="22">
        <f>IF(C160="","",C160-30)</f>
        <v/>
      </c>
      <c r="F160" s="22">
        <f>IF(C160="","",C160-7)</f>
        <v/>
      </c>
      <c r="G160" s="23">
        <f>IF(C160="","",C160-TODAY())</f>
        <v/>
      </c>
      <c r="H160" s="20">
        <f>IF(OR(C160="",K160="Renovado",K160="No renueva"),"",IF(G160&lt;0,"Vencido: llamar",IF(G160=0,"Hoy vence: llamada personal",IF(G160&lt;=7,"Recordatorio con enlace para renovar",IF(G160&lt;=30,"Enviar propuesta de renovación",IF(G160&lt;=60,"Aviso de vencimiento y resumen","Nada todavía"))))))</f>
        <v/>
      </c>
      <c r="I160" s="18" t="n"/>
      <c r="J160" s="18" t="n"/>
      <c r="K160" s="18" t="n"/>
    </row>
    <row r="161">
      <c r="A161" s="18" t="n"/>
      <c r="B161" s="18" t="n"/>
      <c r="C161" s="21" t="n"/>
      <c r="D161" s="22">
        <f>IF(C161="","",C161-60)</f>
        <v/>
      </c>
      <c r="E161" s="22">
        <f>IF(C161="","",C161-30)</f>
        <v/>
      </c>
      <c r="F161" s="22">
        <f>IF(C161="","",C161-7)</f>
        <v/>
      </c>
      <c r="G161" s="23">
        <f>IF(C161="","",C161-TODAY())</f>
        <v/>
      </c>
      <c r="H161" s="20">
        <f>IF(OR(C161="",K161="Renovado",K161="No renueva"),"",IF(G161&lt;0,"Vencido: llamar",IF(G161=0,"Hoy vence: llamada personal",IF(G161&lt;=7,"Recordatorio con enlace para renovar",IF(G161&lt;=30,"Enviar propuesta de renovación",IF(G161&lt;=60,"Aviso de vencimiento y resumen","Nada todavía"))))))</f>
        <v/>
      </c>
      <c r="I161" s="18" t="n"/>
      <c r="J161" s="18" t="n"/>
      <c r="K161" s="18" t="n"/>
    </row>
    <row r="162">
      <c r="A162" s="18" t="n"/>
      <c r="B162" s="18" t="n"/>
      <c r="C162" s="21" t="n"/>
      <c r="D162" s="22">
        <f>IF(C162="","",C162-60)</f>
        <v/>
      </c>
      <c r="E162" s="22">
        <f>IF(C162="","",C162-30)</f>
        <v/>
      </c>
      <c r="F162" s="22">
        <f>IF(C162="","",C162-7)</f>
        <v/>
      </c>
      <c r="G162" s="23">
        <f>IF(C162="","",C162-TODAY())</f>
        <v/>
      </c>
      <c r="H162" s="20">
        <f>IF(OR(C162="",K162="Renovado",K162="No renueva"),"",IF(G162&lt;0,"Vencido: llamar",IF(G162=0,"Hoy vence: llamada personal",IF(G162&lt;=7,"Recordatorio con enlace para renovar",IF(G162&lt;=30,"Enviar propuesta de renovación",IF(G162&lt;=60,"Aviso de vencimiento y resumen","Nada todavía"))))))</f>
        <v/>
      </c>
      <c r="I162" s="18" t="n"/>
      <c r="J162" s="18" t="n"/>
      <c r="K162" s="18" t="n"/>
    </row>
    <row r="163">
      <c r="A163" s="18" t="n"/>
      <c r="B163" s="18" t="n"/>
      <c r="C163" s="21" t="n"/>
      <c r="D163" s="22">
        <f>IF(C163="","",C163-60)</f>
        <v/>
      </c>
      <c r="E163" s="22">
        <f>IF(C163="","",C163-30)</f>
        <v/>
      </c>
      <c r="F163" s="22">
        <f>IF(C163="","",C163-7)</f>
        <v/>
      </c>
      <c r="G163" s="23">
        <f>IF(C163="","",C163-TODAY())</f>
        <v/>
      </c>
      <c r="H163" s="20">
        <f>IF(OR(C163="",K163="Renovado",K163="No renueva"),"",IF(G163&lt;0,"Vencido: llamar",IF(G163=0,"Hoy vence: llamada personal",IF(G163&lt;=7,"Recordatorio con enlace para renovar",IF(G163&lt;=30,"Enviar propuesta de renovación",IF(G163&lt;=60,"Aviso de vencimiento y resumen","Nada todavía"))))))</f>
        <v/>
      </c>
      <c r="I163" s="18" t="n"/>
      <c r="J163" s="18" t="n"/>
      <c r="K163" s="18" t="n"/>
    </row>
    <row r="164">
      <c r="A164" s="18" t="n"/>
      <c r="B164" s="18" t="n"/>
      <c r="C164" s="21" t="n"/>
      <c r="D164" s="22">
        <f>IF(C164="","",C164-60)</f>
        <v/>
      </c>
      <c r="E164" s="22">
        <f>IF(C164="","",C164-30)</f>
        <v/>
      </c>
      <c r="F164" s="22">
        <f>IF(C164="","",C164-7)</f>
        <v/>
      </c>
      <c r="G164" s="23">
        <f>IF(C164="","",C164-TODAY())</f>
        <v/>
      </c>
      <c r="H164" s="20">
        <f>IF(OR(C164="",K164="Renovado",K164="No renueva"),"",IF(G164&lt;0,"Vencido: llamar",IF(G164=0,"Hoy vence: llamada personal",IF(G164&lt;=7,"Recordatorio con enlace para renovar",IF(G164&lt;=30,"Enviar propuesta de renovación",IF(G164&lt;=60,"Aviso de vencimiento y resumen","Nada todavía"))))))</f>
        <v/>
      </c>
      <c r="I164" s="18" t="n"/>
      <c r="J164" s="18" t="n"/>
      <c r="K164" s="18" t="n"/>
    </row>
    <row r="165">
      <c r="A165" s="18" t="n"/>
      <c r="B165" s="18" t="n"/>
      <c r="C165" s="21" t="n"/>
      <c r="D165" s="22">
        <f>IF(C165="","",C165-60)</f>
        <v/>
      </c>
      <c r="E165" s="22">
        <f>IF(C165="","",C165-30)</f>
        <v/>
      </c>
      <c r="F165" s="22">
        <f>IF(C165="","",C165-7)</f>
        <v/>
      </c>
      <c r="G165" s="23">
        <f>IF(C165="","",C165-TODAY())</f>
        <v/>
      </c>
      <c r="H165" s="20">
        <f>IF(OR(C165="",K165="Renovado",K165="No renueva"),"",IF(G165&lt;0,"Vencido: llamar",IF(G165=0,"Hoy vence: llamada personal",IF(G165&lt;=7,"Recordatorio con enlace para renovar",IF(G165&lt;=30,"Enviar propuesta de renovación",IF(G165&lt;=60,"Aviso de vencimiento y resumen","Nada todavía"))))))</f>
        <v/>
      </c>
      <c r="I165" s="18" t="n"/>
      <c r="J165" s="18" t="n"/>
      <c r="K165" s="18" t="n"/>
    </row>
    <row r="166">
      <c r="A166" s="18" t="n"/>
      <c r="B166" s="18" t="n"/>
      <c r="C166" s="21" t="n"/>
      <c r="D166" s="22">
        <f>IF(C166="","",C166-60)</f>
        <v/>
      </c>
      <c r="E166" s="22">
        <f>IF(C166="","",C166-30)</f>
        <v/>
      </c>
      <c r="F166" s="22">
        <f>IF(C166="","",C166-7)</f>
        <v/>
      </c>
      <c r="G166" s="23">
        <f>IF(C166="","",C166-TODAY())</f>
        <v/>
      </c>
      <c r="H166" s="20">
        <f>IF(OR(C166="",K166="Renovado",K166="No renueva"),"",IF(G166&lt;0,"Vencido: llamar",IF(G166=0,"Hoy vence: llamada personal",IF(G166&lt;=7,"Recordatorio con enlace para renovar",IF(G166&lt;=30,"Enviar propuesta de renovación",IF(G166&lt;=60,"Aviso de vencimiento y resumen","Nada todavía"))))))</f>
        <v/>
      </c>
      <c r="I166" s="18" t="n"/>
      <c r="J166" s="18" t="n"/>
      <c r="K166" s="18" t="n"/>
    </row>
    <row r="167">
      <c r="A167" s="18" t="n"/>
      <c r="B167" s="18" t="n"/>
      <c r="C167" s="21" t="n"/>
      <c r="D167" s="22">
        <f>IF(C167="","",C167-60)</f>
        <v/>
      </c>
      <c r="E167" s="22">
        <f>IF(C167="","",C167-30)</f>
        <v/>
      </c>
      <c r="F167" s="22">
        <f>IF(C167="","",C167-7)</f>
        <v/>
      </c>
      <c r="G167" s="23">
        <f>IF(C167="","",C167-TODAY())</f>
        <v/>
      </c>
      <c r="H167" s="20">
        <f>IF(OR(C167="",K167="Renovado",K167="No renueva"),"",IF(G167&lt;0,"Vencido: llamar",IF(G167=0,"Hoy vence: llamada personal",IF(G167&lt;=7,"Recordatorio con enlace para renovar",IF(G167&lt;=30,"Enviar propuesta de renovación",IF(G167&lt;=60,"Aviso de vencimiento y resumen","Nada todavía"))))))</f>
        <v/>
      </c>
      <c r="I167" s="18" t="n"/>
      <c r="J167" s="18" t="n"/>
      <c r="K167" s="18" t="n"/>
    </row>
    <row r="168">
      <c r="A168" s="18" t="n"/>
      <c r="B168" s="18" t="n"/>
      <c r="C168" s="21" t="n"/>
      <c r="D168" s="22">
        <f>IF(C168="","",C168-60)</f>
        <v/>
      </c>
      <c r="E168" s="22">
        <f>IF(C168="","",C168-30)</f>
        <v/>
      </c>
      <c r="F168" s="22">
        <f>IF(C168="","",C168-7)</f>
        <v/>
      </c>
      <c r="G168" s="23">
        <f>IF(C168="","",C168-TODAY())</f>
        <v/>
      </c>
      <c r="H168" s="20">
        <f>IF(OR(C168="",K168="Renovado",K168="No renueva"),"",IF(G168&lt;0,"Vencido: llamar",IF(G168=0,"Hoy vence: llamada personal",IF(G168&lt;=7,"Recordatorio con enlace para renovar",IF(G168&lt;=30,"Enviar propuesta de renovación",IF(G168&lt;=60,"Aviso de vencimiento y resumen","Nada todavía"))))))</f>
        <v/>
      </c>
      <c r="I168" s="18" t="n"/>
      <c r="J168" s="18" t="n"/>
      <c r="K168" s="18" t="n"/>
    </row>
    <row r="169">
      <c r="A169" s="18" t="n"/>
      <c r="B169" s="18" t="n"/>
      <c r="C169" s="21" t="n"/>
      <c r="D169" s="22">
        <f>IF(C169="","",C169-60)</f>
        <v/>
      </c>
      <c r="E169" s="22">
        <f>IF(C169="","",C169-30)</f>
        <v/>
      </c>
      <c r="F169" s="22">
        <f>IF(C169="","",C169-7)</f>
        <v/>
      </c>
      <c r="G169" s="23">
        <f>IF(C169="","",C169-TODAY())</f>
        <v/>
      </c>
      <c r="H169" s="20">
        <f>IF(OR(C169="",K169="Renovado",K169="No renueva"),"",IF(G169&lt;0,"Vencido: llamar",IF(G169=0,"Hoy vence: llamada personal",IF(G169&lt;=7,"Recordatorio con enlace para renovar",IF(G169&lt;=30,"Enviar propuesta de renovación",IF(G169&lt;=60,"Aviso de vencimiento y resumen","Nada todavía"))))))</f>
        <v/>
      </c>
      <c r="I169" s="18" t="n"/>
      <c r="J169" s="18" t="n"/>
      <c r="K169" s="18" t="n"/>
    </row>
    <row r="170">
      <c r="A170" s="18" t="n"/>
      <c r="B170" s="18" t="n"/>
      <c r="C170" s="21" t="n"/>
      <c r="D170" s="22">
        <f>IF(C170="","",C170-60)</f>
        <v/>
      </c>
      <c r="E170" s="22">
        <f>IF(C170="","",C170-30)</f>
        <v/>
      </c>
      <c r="F170" s="22">
        <f>IF(C170="","",C170-7)</f>
        <v/>
      </c>
      <c r="G170" s="23">
        <f>IF(C170="","",C170-TODAY())</f>
        <v/>
      </c>
      <c r="H170" s="20">
        <f>IF(OR(C170="",K170="Renovado",K170="No renueva"),"",IF(G170&lt;0,"Vencido: llamar",IF(G170=0,"Hoy vence: llamada personal",IF(G170&lt;=7,"Recordatorio con enlace para renovar",IF(G170&lt;=30,"Enviar propuesta de renovación",IF(G170&lt;=60,"Aviso de vencimiento y resumen","Nada todavía"))))))</f>
        <v/>
      </c>
      <c r="I170" s="18" t="n"/>
      <c r="J170" s="18" t="n"/>
      <c r="K170" s="18" t="n"/>
    </row>
    <row r="171">
      <c r="A171" s="18" t="n"/>
      <c r="B171" s="18" t="n"/>
      <c r="C171" s="21" t="n"/>
      <c r="D171" s="22">
        <f>IF(C171="","",C171-60)</f>
        <v/>
      </c>
      <c r="E171" s="22">
        <f>IF(C171="","",C171-30)</f>
        <v/>
      </c>
      <c r="F171" s="22">
        <f>IF(C171="","",C171-7)</f>
        <v/>
      </c>
      <c r="G171" s="23">
        <f>IF(C171="","",C171-TODAY())</f>
        <v/>
      </c>
      <c r="H171" s="20">
        <f>IF(OR(C171="",K171="Renovado",K171="No renueva"),"",IF(G171&lt;0,"Vencido: llamar",IF(G171=0,"Hoy vence: llamada personal",IF(G171&lt;=7,"Recordatorio con enlace para renovar",IF(G171&lt;=30,"Enviar propuesta de renovación",IF(G171&lt;=60,"Aviso de vencimiento y resumen","Nada todavía"))))))</f>
        <v/>
      </c>
      <c r="I171" s="18" t="n"/>
      <c r="J171" s="18" t="n"/>
      <c r="K171" s="18" t="n"/>
    </row>
    <row r="172">
      <c r="A172" s="18" t="n"/>
      <c r="B172" s="18" t="n"/>
      <c r="C172" s="21" t="n"/>
      <c r="D172" s="22">
        <f>IF(C172="","",C172-60)</f>
        <v/>
      </c>
      <c r="E172" s="22">
        <f>IF(C172="","",C172-30)</f>
        <v/>
      </c>
      <c r="F172" s="22">
        <f>IF(C172="","",C172-7)</f>
        <v/>
      </c>
      <c r="G172" s="23">
        <f>IF(C172="","",C172-TODAY())</f>
        <v/>
      </c>
      <c r="H172" s="20">
        <f>IF(OR(C172="",K172="Renovado",K172="No renueva"),"",IF(G172&lt;0,"Vencido: llamar",IF(G172=0,"Hoy vence: llamada personal",IF(G172&lt;=7,"Recordatorio con enlace para renovar",IF(G172&lt;=30,"Enviar propuesta de renovación",IF(G172&lt;=60,"Aviso de vencimiento y resumen","Nada todavía"))))))</f>
        <v/>
      </c>
      <c r="I172" s="18" t="n"/>
      <c r="J172" s="18" t="n"/>
      <c r="K172" s="18" t="n"/>
    </row>
    <row r="173">
      <c r="A173" s="18" t="n"/>
      <c r="B173" s="18" t="n"/>
      <c r="C173" s="21" t="n"/>
      <c r="D173" s="22">
        <f>IF(C173="","",C173-60)</f>
        <v/>
      </c>
      <c r="E173" s="22">
        <f>IF(C173="","",C173-30)</f>
        <v/>
      </c>
      <c r="F173" s="22">
        <f>IF(C173="","",C173-7)</f>
        <v/>
      </c>
      <c r="G173" s="23">
        <f>IF(C173="","",C173-TODAY())</f>
        <v/>
      </c>
      <c r="H173" s="20">
        <f>IF(OR(C173="",K173="Renovado",K173="No renueva"),"",IF(G173&lt;0,"Vencido: llamar",IF(G173=0,"Hoy vence: llamada personal",IF(G173&lt;=7,"Recordatorio con enlace para renovar",IF(G173&lt;=30,"Enviar propuesta de renovación",IF(G173&lt;=60,"Aviso de vencimiento y resumen","Nada todavía"))))))</f>
        <v/>
      </c>
      <c r="I173" s="18" t="n"/>
      <c r="J173" s="18" t="n"/>
      <c r="K173" s="18" t="n"/>
    </row>
    <row r="174">
      <c r="A174" s="18" t="n"/>
      <c r="B174" s="18" t="n"/>
      <c r="C174" s="21" t="n"/>
      <c r="D174" s="22">
        <f>IF(C174="","",C174-60)</f>
        <v/>
      </c>
      <c r="E174" s="22">
        <f>IF(C174="","",C174-30)</f>
        <v/>
      </c>
      <c r="F174" s="22">
        <f>IF(C174="","",C174-7)</f>
        <v/>
      </c>
      <c r="G174" s="23">
        <f>IF(C174="","",C174-TODAY())</f>
        <v/>
      </c>
      <c r="H174" s="20">
        <f>IF(OR(C174="",K174="Renovado",K174="No renueva"),"",IF(G174&lt;0,"Vencido: llamar",IF(G174=0,"Hoy vence: llamada personal",IF(G174&lt;=7,"Recordatorio con enlace para renovar",IF(G174&lt;=30,"Enviar propuesta de renovación",IF(G174&lt;=60,"Aviso de vencimiento y resumen","Nada todavía"))))))</f>
        <v/>
      </c>
      <c r="I174" s="18" t="n"/>
      <c r="J174" s="18" t="n"/>
      <c r="K174" s="18" t="n"/>
    </row>
    <row r="175">
      <c r="A175" s="18" t="n"/>
      <c r="B175" s="18" t="n"/>
      <c r="C175" s="21" t="n"/>
      <c r="D175" s="22">
        <f>IF(C175="","",C175-60)</f>
        <v/>
      </c>
      <c r="E175" s="22">
        <f>IF(C175="","",C175-30)</f>
        <v/>
      </c>
      <c r="F175" s="22">
        <f>IF(C175="","",C175-7)</f>
        <v/>
      </c>
      <c r="G175" s="23">
        <f>IF(C175="","",C175-TODAY())</f>
        <v/>
      </c>
      <c r="H175" s="20">
        <f>IF(OR(C175="",K175="Renovado",K175="No renueva"),"",IF(G175&lt;0,"Vencido: llamar",IF(G175=0,"Hoy vence: llamada personal",IF(G175&lt;=7,"Recordatorio con enlace para renovar",IF(G175&lt;=30,"Enviar propuesta de renovación",IF(G175&lt;=60,"Aviso de vencimiento y resumen","Nada todavía"))))))</f>
        <v/>
      </c>
      <c r="I175" s="18" t="n"/>
      <c r="J175" s="18" t="n"/>
      <c r="K175" s="18" t="n"/>
    </row>
    <row r="176">
      <c r="A176" s="18" t="n"/>
      <c r="B176" s="18" t="n"/>
      <c r="C176" s="21" t="n"/>
      <c r="D176" s="22">
        <f>IF(C176="","",C176-60)</f>
        <v/>
      </c>
      <c r="E176" s="22">
        <f>IF(C176="","",C176-30)</f>
        <v/>
      </c>
      <c r="F176" s="22">
        <f>IF(C176="","",C176-7)</f>
        <v/>
      </c>
      <c r="G176" s="23">
        <f>IF(C176="","",C176-TODAY())</f>
        <v/>
      </c>
      <c r="H176" s="20">
        <f>IF(OR(C176="",K176="Renovado",K176="No renueva"),"",IF(G176&lt;0,"Vencido: llamar",IF(G176=0,"Hoy vence: llamada personal",IF(G176&lt;=7,"Recordatorio con enlace para renovar",IF(G176&lt;=30,"Enviar propuesta de renovación",IF(G176&lt;=60,"Aviso de vencimiento y resumen","Nada todavía"))))))</f>
        <v/>
      </c>
      <c r="I176" s="18" t="n"/>
      <c r="J176" s="18" t="n"/>
      <c r="K176" s="18" t="n"/>
    </row>
    <row r="177">
      <c r="A177" s="18" t="n"/>
      <c r="B177" s="18" t="n"/>
      <c r="C177" s="21" t="n"/>
      <c r="D177" s="22">
        <f>IF(C177="","",C177-60)</f>
        <v/>
      </c>
      <c r="E177" s="22">
        <f>IF(C177="","",C177-30)</f>
        <v/>
      </c>
      <c r="F177" s="22">
        <f>IF(C177="","",C177-7)</f>
        <v/>
      </c>
      <c r="G177" s="23">
        <f>IF(C177="","",C177-TODAY())</f>
        <v/>
      </c>
      <c r="H177" s="20">
        <f>IF(OR(C177="",K177="Renovado",K177="No renueva"),"",IF(G177&lt;0,"Vencido: llamar",IF(G177=0,"Hoy vence: llamada personal",IF(G177&lt;=7,"Recordatorio con enlace para renovar",IF(G177&lt;=30,"Enviar propuesta de renovación",IF(G177&lt;=60,"Aviso de vencimiento y resumen","Nada todavía"))))))</f>
        <v/>
      </c>
      <c r="I177" s="18" t="n"/>
      <c r="J177" s="18" t="n"/>
      <c r="K177" s="18" t="n"/>
    </row>
    <row r="178">
      <c r="A178" s="18" t="n"/>
      <c r="B178" s="18" t="n"/>
      <c r="C178" s="21" t="n"/>
      <c r="D178" s="22">
        <f>IF(C178="","",C178-60)</f>
        <v/>
      </c>
      <c r="E178" s="22">
        <f>IF(C178="","",C178-30)</f>
        <v/>
      </c>
      <c r="F178" s="22">
        <f>IF(C178="","",C178-7)</f>
        <v/>
      </c>
      <c r="G178" s="23">
        <f>IF(C178="","",C178-TODAY())</f>
        <v/>
      </c>
      <c r="H178" s="20">
        <f>IF(OR(C178="",K178="Renovado",K178="No renueva"),"",IF(G178&lt;0,"Vencido: llamar",IF(G178=0,"Hoy vence: llamada personal",IF(G178&lt;=7,"Recordatorio con enlace para renovar",IF(G178&lt;=30,"Enviar propuesta de renovación",IF(G178&lt;=60,"Aviso de vencimiento y resumen","Nada todavía"))))))</f>
        <v/>
      </c>
      <c r="I178" s="18" t="n"/>
      <c r="J178" s="18" t="n"/>
      <c r="K178" s="18" t="n"/>
    </row>
    <row r="179">
      <c r="A179" s="18" t="n"/>
      <c r="B179" s="18" t="n"/>
      <c r="C179" s="21" t="n"/>
      <c r="D179" s="22">
        <f>IF(C179="","",C179-60)</f>
        <v/>
      </c>
      <c r="E179" s="22">
        <f>IF(C179="","",C179-30)</f>
        <v/>
      </c>
      <c r="F179" s="22">
        <f>IF(C179="","",C179-7)</f>
        <v/>
      </c>
      <c r="G179" s="23">
        <f>IF(C179="","",C179-TODAY())</f>
        <v/>
      </c>
      <c r="H179" s="20">
        <f>IF(OR(C179="",K179="Renovado",K179="No renueva"),"",IF(G179&lt;0,"Vencido: llamar",IF(G179=0,"Hoy vence: llamada personal",IF(G179&lt;=7,"Recordatorio con enlace para renovar",IF(G179&lt;=30,"Enviar propuesta de renovación",IF(G179&lt;=60,"Aviso de vencimiento y resumen","Nada todavía"))))))</f>
        <v/>
      </c>
      <c r="I179" s="18" t="n"/>
      <c r="J179" s="18" t="n"/>
      <c r="K179" s="18" t="n"/>
    </row>
    <row r="180">
      <c r="A180" s="18" t="n"/>
      <c r="B180" s="18" t="n"/>
      <c r="C180" s="21" t="n"/>
      <c r="D180" s="22">
        <f>IF(C180="","",C180-60)</f>
        <v/>
      </c>
      <c r="E180" s="22">
        <f>IF(C180="","",C180-30)</f>
        <v/>
      </c>
      <c r="F180" s="22">
        <f>IF(C180="","",C180-7)</f>
        <v/>
      </c>
      <c r="G180" s="23">
        <f>IF(C180="","",C180-TODAY())</f>
        <v/>
      </c>
      <c r="H180" s="20">
        <f>IF(OR(C180="",K180="Renovado",K180="No renueva"),"",IF(G180&lt;0,"Vencido: llamar",IF(G180=0,"Hoy vence: llamada personal",IF(G180&lt;=7,"Recordatorio con enlace para renovar",IF(G180&lt;=30,"Enviar propuesta de renovación",IF(G180&lt;=60,"Aviso de vencimiento y resumen","Nada todavía"))))))</f>
        <v/>
      </c>
      <c r="I180" s="18" t="n"/>
      <c r="J180" s="18" t="n"/>
      <c r="K180" s="18" t="n"/>
    </row>
    <row r="181">
      <c r="A181" s="18" t="n"/>
      <c r="B181" s="18" t="n"/>
      <c r="C181" s="21" t="n"/>
      <c r="D181" s="22">
        <f>IF(C181="","",C181-60)</f>
        <v/>
      </c>
      <c r="E181" s="22">
        <f>IF(C181="","",C181-30)</f>
        <v/>
      </c>
      <c r="F181" s="22">
        <f>IF(C181="","",C181-7)</f>
        <v/>
      </c>
      <c r="G181" s="23">
        <f>IF(C181="","",C181-TODAY())</f>
        <v/>
      </c>
      <c r="H181" s="20">
        <f>IF(OR(C181="",K181="Renovado",K181="No renueva"),"",IF(G181&lt;0,"Vencido: llamar",IF(G181=0,"Hoy vence: llamada personal",IF(G181&lt;=7,"Recordatorio con enlace para renovar",IF(G181&lt;=30,"Enviar propuesta de renovación",IF(G181&lt;=60,"Aviso de vencimiento y resumen","Nada todavía"))))))</f>
        <v/>
      </c>
      <c r="I181" s="18" t="n"/>
      <c r="J181" s="18" t="n"/>
      <c r="K181" s="18" t="n"/>
    </row>
    <row r="182">
      <c r="A182" s="18" t="n"/>
      <c r="B182" s="18" t="n"/>
      <c r="C182" s="21" t="n"/>
      <c r="D182" s="22">
        <f>IF(C182="","",C182-60)</f>
        <v/>
      </c>
      <c r="E182" s="22">
        <f>IF(C182="","",C182-30)</f>
        <v/>
      </c>
      <c r="F182" s="22">
        <f>IF(C182="","",C182-7)</f>
        <v/>
      </c>
      <c r="G182" s="23">
        <f>IF(C182="","",C182-TODAY())</f>
        <v/>
      </c>
      <c r="H182" s="20">
        <f>IF(OR(C182="",K182="Renovado",K182="No renueva"),"",IF(G182&lt;0,"Vencido: llamar",IF(G182=0,"Hoy vence: llamada personal",IF(G182&lt;=7,"Recordatorio con enlace para renovar",IF(G182&lt;=30,"Enviar propuesta de renovación",IF(G182&lt;=60,"Aviso de vencimiento y resumen","Nada todavía"))))))</f>
        <v/>
      </c>
      <c r="I182" s="18" t="n"/>
      <c r="J182" s="18" t="n"/>
      <c r="K182" s="18" t="n"/>
    </row>
    <row r="183">
      <c r="A183" s="18" t="n"/>
      <c r="B183" s="18" t="n"/>
      <c r="C183" s="21" t="n"/>
      <c r="D183" s="22">
        <f>IF(C183="","",C183-60)</f>
        <v/>
      </c>
      <c r="E183" s="22">
        <f>IF(C183="","",C183-30)</f>
        <v/>
      </c>
      <c r="F183" s="22">
        <f>IF(C183="","",C183-7)</f>
        <v/>
      </c>
      <c r="G183" s="23">
        <f>IF(C183="","",C183-TODAY())</f>
        <v/>
      </c>
      <c r="H183" s="20">
        <f>IF(OR(C183="",K183="Renovado",K183="No renueva"),"",IF(G183&lt;0,"Vencido: llamar",IF(G183=0,"Hoy vence: llamada personal",IF(G183&lt;=7,"Recordatorio con enlace para renovar",IF(G183&lt;=30,"Enviar propuesta de renovación",IF(G183&lt;=60,"Aviso de vencimiento y resumen","Nada todavía"))))))</f>
        <v/>
      </c>
      <c r="I183" s="18" t="n"/>
      <c r="J183" s="18" t="n"/>
      <c r="K183" s="18" t="n"/>
    </row>
    <row r="184">
      <c r="A184" s="18" t="n"/>
      <c r="B184" s="18" t="n"/>
      <c r="C184" s="21" t="n"/>
      <c r="D184" s="22">
        <f>IF(C184="","",C184-60)</f>
        <v/>
      </c>
      <c r="E184" s="22">
        <f>IF(C184="","",C184-30)</f>
        <v/>
      </c>
      <c r="F184" s="22">
        <f>IF(C184="","",C184-7)</f>
        <v/>
      </c>
      <c r="G184" s="23">
        <f>IF(C184="","",C184-TODAY())</f>
        <v/>
      </c>
      <c r="H184" s="20">
        <f>IF(OR(C184="",K184="Renovado",K184="No renueva"),"",IF(G184&lt;0,"Vencido: llamar",IF(G184=0,"Hoy vence: llamada personal",IF(G184&lt;=7,"Recordatorio con enlace para renovar",IF(G184&lt;=30,"Enviar propuesta de renovación",IF(G184&lt;=60,"Aviso de vencimiento y resumen","Nada todavía"))))))</f>
        <v/>
      </c>
      <c r="I184" s="18" t="n"/>
      <c r="J184" s="18" t="n"/>
      <c r="K184" s="18" t="n"/>
    </row>
    <row r="185">
      <c r="A185" s="18" t="n"/>
      <c r="B185" s="18" t="n"/>
      <c r="C185" s="21" t="n"/>
      <c r="D185" s="22">
        <f>IF(C185="","",C185-60)</f>
        <v/>
      </c>
      <c r="E185" s="22">
        <f>IF(C185="","",C185-30)</f>
        <v/>
      </c>
      <c r="F185" s="22">
        <f>IF(C185="","",C185-7)</f>
        <v/>
      </c>
      <c r="G185" s="23">
        <f>IF(C185="","",C185-TODAY())</f>
        <v/>
      </c>
      <c r="H185" s="20">
        <f>IF(OR(C185="",K185="Renovado",K185="No renueva"),"",IF(G185&lt;0,"Vencido: llamar",IF(G185=0,"Hoy vence: llamada personal",IF(G185&lt;=7,"Recordatorio con enlace para renovar",IF(G185&lt;=30,"Enviar propuesta de renovación",IF(G185&lt;=60,"Aviso de vencimiento y resumen","Nada todavía"))))))</f>
        <v/>
      </c>
      <c r="I185" s="18" t="n"/>
      <c r="J185" s="18" t="n"/>
      <c r="K185" s="18" t="n"/>
    </row>
    <row r="186">
      <c r="A186" s="18" t="n"/>
      <c r="B186" s="18" t="n"/>
      <c r="C186" s="21" t="n"/>
      <c r="D186" s="22">
        <f>IF(C186="","",C186-60)</f>
        <v/>
      </c>
      <c r="E186" s="22">
        <f>IF(C186="","",C186-30)</f>
        <v/>
      </c>
      <c r="F186" s="22">
        <f>IF(C186="","",C186-7)</f>
        <v/>
      </c>
      <c r="G186" s="23">
        <f>IF(C186="","",C186-TODAY())</f>
        <v/>
      </c>
      <c r="H186" s="20">
        <f>IF(OR(C186="",K186="Renovado",K186="No renueva"),"",IF(G186&lt;0,"Vencido: llamar",IF(G186=0,"Hoy vence: llamada personal",IF(G186&lt;=7,"Recordatorio con enlace para renovar",IF(G186&lt;=30,"Enviar propuesta de renovación",IF(G186&lt;=60,"Aviso de vencimiento y resumen","Nada todavía"))))))</f>
        <v/>
      </c>
      <c r="I186" s="18" t="n"/>
      <c r="J186" s="18" t="n"/>
      <c r="K186" s="18" t="n"/>
    </row>
    <row r="187">
      <c r="A187" s="18" t="n"/>
      <c r="B187" s="18" t="n"/>
      <c r="C187" s="21" t="n"/>
      <c r="D187" s="22">
        <f>IF(C187="","",C187-60)</f>
        <v/>
      </c>
      <c r="E187" s="22">
        <f>IF(C187="","",C187-30)</f>
        <v/>
      </c>
      <c r="F187" s="22">
        <f>IF(C187="","",C187-7)</f>
        <v/>
      </c>
      <c r="G187" s="23">
        <f>IF(C187="","",C187-TODAY())</f>
        <v/>
      </c>
      <c r="H187" s="20">
        <f>IF(OR(C187="",K187="Renovado",K187="No renueva"),"",IF(G187&lt;0,"Vencido: llamar",IF(G187=0,"Hoy vence: llamada personal",IF(G187&lt;=7,"Recordatorio con enlace para renovar",IF(G187&lt;=30,"Enviar propuesta de renovación",IF(G187&lt;=60,"Aviso de vencimiento y resumen","Nada todavía"))))))</f>
        <v/>
      </c>
      <c r="I187" s="18" t="n"/>
      <c r="J187" s="18" t="n"/>
      <c r="K187" s="18" t="n"/>
    </row>
    <row r="188">
      <c r="A188" s="18" t="n"/>
      <c r="B188" s="18" t="n"/>
      <c r="C188" s="21" t="n"/>
      <c r="D188" s="22">
        <f>IF(C188="","",C188-60)</f>
        <v/>
      </c>
      <c r="E188" s="22">
        <f>IF(C188="","",C188-30)</f>
        <v/>
      </c>
      <c r="F188" s="22">
        <f>IF(C188="","",C188-7)</f>
        <v/>
      </c>
      <c r="G188" s="23">
        <f>IF(C188="","",C188-TODAY())</f>
        <v/>
      </c>
      <c r="H188" s="20">
        <f>IF(OR(C188="",K188="Renovado",K188="No renueva"),"",IF(G188&lt;0,"Vencido: llamar",IF(G188=0,"Hoy vence: llamada personal",IF(G188&lt;=7,"Recordatorio con enlace para renovar",IF(G188&lt;=30,"Enviar propuesta de renovación",IF(G188&lt;=60,"Aviso de vencimiento y resumen","Nada todavía"))))))</f>
        <v/>
      </c>
      <c r="I188" s="18" t="n"/>
      <c r="J188" s="18" t="n"/>
      <c r="K188" s="18" t="n"/>
    </row>
    <row r="189">
      <c r="A189" s="18" t="n"/>
      <c r="B189" s="18" t="n"/>
      <c r="C189" s="21" t="n"/>
      <c r="D189" s="22">
        <f>IF(C189="","",C189-60)</f>
        <v/>
      </c>
      <c r="E189" s="22">
        <f>IF(C189="","",C189-30)</f>
        <v/>
      </c>
      <c r="F189" s="22">
        <f>IF(C189="","",C189-7)</f>
        <v/>
      </c>
      <c r="G189" s="23">
        <f>IF(C189="","",C189-TODAY())</f>
        <v/>
      </c>
      <c r="H189" s="20">
        <f>IF(OR(C189="",K189="Renovado",K189="No renueva"),"",IF(G189&lt;0,"Vencido: llamar",IF(G189=0,"Hoy vence: llamada personal",IF(G189&lt;=7,"Recordatorio con enlace para renovar",IF(G189&lt;=30,"Enviar propuesta de renovación",IF(G189&lt;=60,"Aviso de vencimiento y resumen","Nada todavía"))))))</f>
        <v/>
      </c>
      <c r="I189" s="18" t="n"/>
      <c r="J189" s="18" t="n"/>
      <c r="K189" s="18" t="n"/>
    </row>
    <row r="190">
      <c r="A190" s="18" t="n"/>
      <c r="B190" s="18" t="n"/>
      <c r="C190" s="21" t="n"/>
      <c r="D190" s="22">
        <f>IF(C190="","",C190-60)</f>
        <v/>
      </c>
      <c r="E190" s="22">
        <f>IF(C190="","",C190-30)</f>
        <v/>
      </c>
      <c r="F190" s="22">
        <f>IF(C190="","",C190-7)</f>
        <v/>
      </c>
      <c r="G190" s="23">
        <f>IF(C190="","",C190-TODAY())</f>
        <v/>
      </c>
      <c r="H190" s="20">
        <f>IF(OR(C190="",K190="Renovado",K190="No renueva"),"",IF(G190&lt;0,"Vencido: llamar",IF(G190=0,"Hoy vence: llamada personal",IF(G190&lt;=7,"Recordatorio con enlace para renovar",IF(G190&lt;=30,"Enviar propuesta de renovación",IF(G190&lt;=60,"Aviso de vencimiento y resumen","Nada todavía"))))))</f>
        <v/>
      </c>
      <c r="I190" s="18" t="n"/>
      <c r="J190" s="18" t="n"/>
      <c r="K190" s="18" t="n"/>
    </row>
    <row r="191">
      <c r="A191" s="18" t="n"/>
      <c r="B191" s="18" t="n"/>
      <c r="C191" s="21" t="n"/>
      <c r="D191" s="22">
        <f>IF(C191="","",C191-60)</f>
        <v/>
      </c>
      <c r="E191" s="22">
        <f>IF(C191="","",C191-30)</f>
        <v/>
      </c>
      <c r="F191" s="22">
        <f>IF(C191="","",C191-7)</f>
        <v/>
      </c>
      <c r="G191" s="23">
        <f>IF(C191="","",C191-TODAY())</f>
        <v/>
      </c>
      <c r="H191" s="20">
        <f>IF(OR(C191="",K191="Renovado",K191="No renueva"),"",IF(G191&lt;0,"Vencido: llamar",IF(G191=0,"Hoy vence: llamada personal",IF(G191&lt;=7,"Recordatorio con enlace para renovar",IF(G191&lt;=30,"Enviar propuesta de renovación",IF(G191&lt;=60,"Aviso de vencimiento y resumen","Nada todavía"))))))</f>
        <v/>
      </c>
      <c r="I191" s="18" t="n"/>
      <c r="J191" s="18" t="n"/>
      <c r="K191" s="18" t="n"/>
    </row>
    <row r="192">
      <c r="A192" s="18" t="n"/>
      <c r="B192" s="18" t="n"/>
      <c r="C192" s="21" t="n"/>
      <c r="D192" s="22">
        <f>IF(C192="","",C192-60)</f>
        <v/>
      </c>
      <c r="E192" s="22">
        <f>IF(C192="","",C192-30)</f>
        <v/>
      </c>
      <c r="F192" s="22">
        <f>IF(C192="","",C192-7)</f>
        <v/>
      </c>
      <c r="G192" s="23">
        <f>IF(C192="","",C192-TODAY())</f>
        <v/>
      </c>
      <c r="H192" s="20">
        <f>IF(OR(C192="",K192="Renovado",K192="No renueva"),"",IF(G192&lt;0,"Vencido: llamar",IF(G192=0,"Hoy vence: llamada personal",IF(G192&lt;=7,"Recordatorio con enlace para renovar",IF(G192&lt;=30,"Enviar propuesta de renovación",IF(G192&lt;=60,"Aviso de vencimiento y resumen","Nada todavía"))))))</f>
        <v/>
      </c>
      <c r="I192" s="18" t="n"/>
      <c r="J192" s="18" t="n"/>
      <c r="K192" s="18" t="n"/>
    </row>
    <row r="193">
      <c r="A193" s="18" t="n"/>
      <c r="B193" s="18" t="n"/>
      <c r="C193" s="21" t="n"/>
      <c r="D193" s="22">
        <f>IF(C193="","",C193-60)</f>
        <v/>
      </c>
      <c r="E193" s="22">
        <f>IF(C193="","",C193-30)</f>
        <v/>
      </c>
      <c r="F193" s="22">
        <f>IF(C193="","",C193-7)</f>
        <v/>
      </c>
      <c r="G193" s="23">
        <f>IF(C193="","",C193-TODAY())</f>
        <v/>
      </c>
      <c r="H193" s="20">
        <f>IF(OR(C193="",K193="Renovado",K193="No renueva"),"",IF(G193&lt;0,"Vencido: llamar",IF(G193=0,"Hoy vence: llamada personal",IF(G193&lt;=7,"Recordatorio con enlace para renovar",IF(G193&lt;=30,"Enviar propuesta de renovación",IF(G193&lt;=60,"Aviso de vencimiento y resumen","Nada todavía"))))))</f>
        <v/>
      </c>
      <c r="I193" s="18" t="n"/>
      <c r="J193" s="18" t="n"/>
      <c r="K193" s="18" t="n"/>
    </row>
    <row r="194">
      <c r="A194" s="18" t="n"/>
      <c r="B194" s="18" t="n"/>
      <c r="C194" s="21" t="n"/>
      <c r="D194" s="22">
        <f>IF(C194="","",C194-60)</f>
        <v/>
      </c>
      <c r="E194" s="22">
        <f>IF(C194="","",C194-30)</f>
        <v/>
      </c>
      <c r="F194" s="22">
        <f>IF(C194="","",C194-7)</f>
        <v/>
      </c>
      <c r="G194" s="23">
        <f>IF(C194="","",C194-TODAY())</f>
        <v/>
      </c>
      <c r="H194" s="20">
        <f>IF(OR(C194="",K194="Renovado",K194="No renueva"),"",IF(G194&lt;0,"Vencido: llamar",IF(G194=0,"Hoy vence: llamada personal",IF(G194&lt;=7,"Recordatorio con enlace para renovar",IF(G194&lt;=30,"Enviar propuesta de renovación",IF(G194&lt;=60,"Aviso de vencimiento y resumen","Nada todavía"))))))</f>
        <v/>
      </c>
      <c r="I194" s="18" t="n"/>
      <c r="J194" s="18" t="n"/>
      <c r="K194" s="18" t="n"/>
    </row>
    <row r="195">
      <c r="A195" s="18" t="n"/>
      <c r="B195" s="18" t="n"/>
      <c r="C195" s="21" t="n"/>
      <c r="D195" s="22">
        <f>IF(C195="","",C195-60)</f>
        <v/>
      </c>
      <c r="E195" s="22">
        <f>IF(C195="","",C195-30)</f>
        <v/>
      </c>
      <c r="F195" s="22">
        <f>IF(C195="","",C195-7)</f>
        <v/>
      </c>
      <c r="G195" s="23">
        <f>IF(C195="","",C195-TODAY())</f>
        <v/>
      </c>
      <c r="H195" s="20">
        <f>IF(OR(C195="",K195="Renovado",K195="No renueva"),"",IF(G195&lt;0,"Vencido: llamar",IF(G195=0,"Hoy vence: llamada personal",IF(G195&lt;=7,"Recordatorio con enlace para renovar",IF(G195&lt;=30,"Enviar propuesta de renovación",IF(G195&lt;=60,"Aviso de vencimiento y resumen","Nada todavía"))))))</f>
        <v/>
      </c>
      <c r="I195" s="18" t="n"/>
      <c r="J195" s="18" t="n"/>
      <c r="K195" s="18" t="n"/>
    </row>
    <row r="196">
      <c r="A196" s="18" t="n"/>
      <c r="B196" s="18" t="n"/>
      <c r="C196" s="21" t="n"/>
      <c r="D196" s="22">
        <f>IF(C196="","",C196-60)</f>
        <v/>
      </c>
      <c r="E196" s="22">
        <f>IF(C196="","",C196-30)</f>
        <v/>
      </c>
      <c r="F196" s="22">
        <f>IF(C196="","",C196-7)</f>
        <v/>
      </c>
      <c r="G196" s="23">
        <f>IF(C196="","",C196-TODAY())</f>
        <v/>
      </c>
      <c r="H196" s="20">
        <f>IF(OR(C196="",K196="Renovado",K196="No renueva"),"",IF(G196&lt;0,"Vencido: llamar",IF(G196=0,"Hoy vence: llamada personal",IF(G196&lt;=7,"Recordatorio con enlace para renovar",IF(G196&lt;=30,"Enviar propuesta de renovación",IF(G196&lt;=60,"Aviso de vencimiento y resumen","Nada todavía"))))))</f>
        <v/>
      </c>
      <c r="I196" s="18" t="n"/>
      <c r="J196" s="18" t="n"/>
      <c r="K196" s="18" t="n"/>
    </row>
    <row r="197">
      <c r="A197" s="18" t="n"/>
      <c r="B197" s="18" t="n"/>
      <c r="C197" s="21" t="n"/>
      <c r="D197" s="22">
        <f>IF(C197="","",C197-60)</f>
        <v/>
      </c>
      <c r="E197" s="22">
        <f>IF(C197="","",C197-30)</f>
        <v/>
      </c>
      <c r="F197" s="22">
        <f>IF(C197="","",C197-7)</f>
        <v/>
      </c>
      <c r="G197" s="23">
        <f>IF(C197="","",C197-TODAY())</f>
        <v/>
      </c>
      <c r="H197" s="20">
        <f>IF(OR(C197="",K197="Renovado",K197="No renueva"),"",IF(G197&lt;0,"Vencido: llamar",IF(G197=0,"Hoy vence: llamada personal",IF(G197&lt;=7,"Recordatorio con enlace para renovar",IF(G197&lt;=30,"Enviar propuesta de renovación",IF(G197&lt;=60,"Aviso de vencimiento y resumen","Nada todavía"))))))</f>
        <v/>
      </c>
      <c r="I197" s="18" t="n"/>
      <c r="J197" s="18" t="n"/>
      <c r="K197" s="18" t="n"/>
    </row>
    <row r="198">
      <c r="A198" s="18" t="n"/>
      <c r="B198" s="18" t="n"/>
      <c r="C198" s="21" t="n"/>
      <c r="D198" s="22">
        <f>IF(C198="","",C198-60)</f>
        <v/>
      </c>
      <c r="E198" s="22">
        <f>IF(C198="","",C198-30)</f>
        <v/>
      </c>
      <c r="F198" s="22">
        <f>IF(C198="","",C198-7)</f>
        <v/>
      </c>
      <c r="G198" s="23">
        <f>IF(C198="","",C198-TODAY())</f>
        <v/>
      </c>
      <c r="H198" s="20">
        <f>IF(OR(C198="",K198="Renovado",K198="No renueva"),"",IF(G198&lt;0,"Vencido: llamar",IF(G198=0,"Hoy vence: llamada personal",IF(G198&lt;=7,"Recordatorio con enlace para renovar",IF(G198&lt;=30,"Enviar propuesta de renovación",IF(G198&lt;=60,"Aviso de vencimiento y resumen","Nada todavía"))))))</f>
        <v/>
      </c>
      <c r="I198" s="18" t="n"/>
      <c r="J198" s="18" t="n"/>
      <c r="K198" s="18" t="n"/>
    </row>
    <row r="199">
      <c r="A199" s="18" t="n"/>
      <c r="B199" s="18" t="n"/>
      <c r="C199" s="21" t="n"/>
      <c r="D199" s="22">
        <f>IF(C199="","",C199-60)</f>
        <v/>
      </c>
      <c r="E199" s="22">
        <f>IF(C199="","",C199-30)</f>
        <v/>
      </c>
      <c r="F199" s="22">
        <f>IF(C199="","",C199-7)</f>
        <v/>
      </c>
      <c r="G199" s="23">
        <f>IF(C199="","",C199-TODAY())</f>
        <v/>
      </c>
      <c r="H199" s="20">
        <f>IF(OR(C199="",K199="Renovado",K199="No renueva"),"",IF(G199&lt;0,"Vencido: llamar",IF(G199=0,"Hoy vence: llamada personal",IF(G199&lt;=7,"Recordatorio con enlace para renovar",IF(G199&lt;=30,"Enviar propuesta de renovación",IF(G199&lt;=60,"Aviso de vencimiento y resumen","Nada todavía"))))))</f>
        <v/>
      </c>
      <c r="I199" s="18" t="n"/>
      <c r="J199" s="18" t="n"/>
      <c r="K199" s="18" t="n"/>
    </row>
    <row r="200">
      <c r="A200" s="18" t="n"/>
      <c r="B200" s="18" t="n"/>
      <c r="C200" s="21" t="n"/>
      <c r="D200" s="22">
        <f>IF(C200="","",C200-60)</f>
        <v/>
      </c>
      <c r="E200" s="22">
        <f>IF(C200="","",C200-30)</f>
        <v/>
      </c>
      <c r="F200" s="22">
        <f>IF(C200="","",C200-7)</f>
        <v/>
      </c>
      <c r="G200" s="23">
        <f>IF(C200="","",C200-TODAY())</f>
        <v/>
      </c>
      <c r="H200" s="20">
        <f>IF(OR(C200="",K200="Renovado",K200="No renueva"),"",IF(G200&lt;0,"Vencido: llamar",IF(G200=0,"Hoy vence: llamada personal",IF(G200&lt;=7,"Recordatorio con enlace para renovar",IF(G200&lt;=30,"Enviar propuesta de renovación",IF(G200&lt;=60,"Aviso de vencimiento y resumen","Nada todavía"))))))</f>
        <v/>
      </c>
      <c r="I200" s="18" t="n"/>
      <c r="J200" s="18" t="n"/>
      <c r="K200" s="18" t="n"/>
    </row>
    <row r="201">
      <c r="A201" s="18" t="n"/>
      <c r="B201" s="18" t="n"/>
      <c r="C201" s="21" t="n"/>
      <c r="D201" s="22">
        <f>IF(C201="","",C201-60)</f>
        <v/>
      </c>
      <c r="E201" s="22">
        <f>IF(C201="","",C201-30)</f>
        <v/>
      </c>
      <c r="F201" s="22">
        <f>IF(C201="","",C201-7)</f>
        <v/>
      </c>
      <c r="G201" s="23">
        <f>IF(C201="","",C201-TODAY())</f>
        <v/>
      </c>
      <c r="H201" s="20">
        <f>IF(OR(C201="",K201="Renovado",K201="No renueva"),"",IF(G201&lt;0,"Vencido: llamar",IF(G201=0,"Hoy vence: llamada personal",IF(G201&lt;=7,"Recordatorio con enlace para renovar",IF(G201&lt;=30,"Enviar propuesta de renovación",IF(G201&lt;=60,"Aviso de vencimiento y resumen","Nada todavía"))))))</f>
        <v/>
      </c>
      <c r="I201" s="18" t="n"/>
      <c r="J201" s="18" t="n"/>
      <c r="K201" s="18" t="n"/>
    </row>
    <row r="202">
      <c r="A202" s="18" t="n"/>
      <c r="B202" s="18" t="n"/>
      <c r="C202" s="21" t="n"/>
      <c r="D202" s="22">
        <f>IF(C202="","",C202-60)</f>
        <v/>
      </c>
      <c r="E202" s="22">
        <f>IF(C202="","",C202-30)</f>
        <v/>
      </c>
      <c r="F202" s="22">
        <f>IF(C202="","",C202-7)</f>
        <v/>
      </c>
      <c r="G202" s="23">
        <f>IF(C202="","",C202-TODAY())</f>
        <v/>
      </c>
      <c r="H202" s="20">
        <f>IF(OR(C202="",K202="Renovado",K202="No renueva"),"",IF(G202&lt;0,"Vencido: llamar",IF(G202=0,"Hoy vence: llamada personal",IF(G202&lt;=7,"Recordatorio con enlace para renovar",IF(G202&lt;=30,"Enviar propuesta de renovación",IF(G202&lt;=60,"Aviso de vencimiento y resumen","Nada todavía"))))))</f>
        <v/>
      </c>
      <c r="I202" s="18" t="n"/>
      <c r="J202" s="18" t="n"/>
      <c r="K202" s="18" t="n"/>
    </row>
    <row r="203">
      <c r="A203" s="18" t="n"/>
      <c r="B203" s="18" t="n"/>
      <c r="C203" s="21" t="n"/>
      <c r="D203" s="22">
        <f>IF(C203="","",C203-60)</f>
        <v/>
      </c>
      <c r="E203" s="22">
        <f>IF(C203="","",C203-30)</f>
        <v/>
      </c>
      <c r="F203" s="22">
        <f>IF(C203="","",C203-7)</f>
        <v/>
      </c>
      <c r="G203" s="23">
        <f>IF(C203="","",C203-TODAY())</f>
        <v/>
      </c>
      <c r="H203" s="20">
        <f>IF(OR(C203="",K203="Renovado",K203="No renueva"),"",IF(G203&lt;0,"Vencido: llamar",IF(G203=0,"Hoy vence: llamada personal",IF(G203&lt;=7,"Recordatorio con enlace para renovar",IF(G203&lt;=30,"Enviar propuesta de renovación",IF(G203&lt;=60,"Aviso de vencimiento y resumen","Nada todavía"))))))</f>
        <v/>
      </c>
      <c r="I203" s="18" t="n"/>
      <c r="J203" s="18" t="n"/>
      <c r="K203" s="18" t="n"/>
    </row>
    <row r="204">
      <c r="A204" s="18" t="n"/>
      <c r="B204" s="18" t="n"/>
      <c r="C204" s="21" t="n"/>
      <c r="D204" s="22">
        <f>IF(C204="","",C204-60)</f>
        <v/>
      </c>
      <c r="E204" s="22">
        <f>IF(C204="","",C204-30)</f>
        <v/>
      </c>
      <c r="F204" s="22">
        <f>IF(C204="","",C204-7)</f>
        <v/>
      </c>
      <c r="G204" s="23">
        <f>IF(C204="","",C204-TODAY())</f>
        <v/>
      </c>
      <c r="H204" s="20">
        <f>IF(OR(C204="",K204="Renovado",K204="No renueva"),"",IF(G204&lt;0,"Vencido: llamar",IF(G204=0,"Hoy vence: llamada personal",IF(G204&lt;=7,"Recordatorio con enlace para renovar",IF(G204&lt;=30,"Enviar propuesta de renovación",IF(G204&lt;=60,"Aviso de vencimiento y resumen","Nada todavía"))))))</f>
        <v/>
      </c>
      <c r="I204" s="18" t="n"/>
      <c r="J204" s="18" t="n"/>
      <c r="K204" s="18" t="n"/>
    </row>
    <row r="205">
      <c r="A205" s="18" t="n"/>
      <c r="B205" s="18" t="n"/>
      <c r="C205" s="21" t="n"/>
      <c r="D205" s="22">
        <f>IF(C205="","",C205-60)</f>
        <v/>
      </c>
      <c r="E205" s="22">
        <f>IF(C205="","",C205-30)</f>
        <v/>
      </c>
      <c r="F205" s="22">
        <f>IF(C205="","",C205-7)</f>
        <v/>
      </c>
      <c r="G205" s="23">
        <f>IF(C205="","",C205-TODAY())</f>
        <v/>
      </c>
      <c r="H205" s="20">
        <f>IF(OR(C205="",K205="Renovado",K205="No renueva"),"",IF(G205&lt;0,"Vencido: llamar",IF(G205=0,"Hoy vence: llamada personal",IF(G205&lt;=7,"Recordatorio con enlace para renovar",IF(G205&lt;=30,"Enviar propuesta de renovación",IF(G205&lt;=60,"Aviso de vencimiento y resumen","Nada todavía"))))))</f>
        <v/>
      </c>
      <c r="I205" s="18" t="n"/>
      <c r="J205" s="18" t="n"/>
      <c r="K205" s="18" t="n"/>
    </row>
  </sheetData>
  <conditionalFormatting sqref="G6:G205">
    <cfRule type="expression" priority="1" dxfId="2">
      <formula>AND(G6&lt;&gt;"",G6&lt;=30,$K6&lt;&gt;"Renovado",$K6&lt;&gt;"No renueva")</formula>
    </cfRule>
  </conditionalFormatting>
  <dataValidations count="2">
    <dataValidation sqref="I6:I205" showDropDown="0" showInputMessage="0" showErrorMessage="1" allowBlank="1" errorTitle="Valor no válido" error="Elige una opción de la lista." type="list">
      <formula1>"Email,WhatsApp,Teléfono"</formula1>
    </dataValidation>
    <dataValidation sqref="K6:K205" showDropDown="0" showInputMessage="0" showErrorMessage="1" allowBlank="1" errorTitle="Valor no válido" error="Elige una opción de la lista." type="list">
      <formula1>"Pendiente,Avisado,Propuesta enviada,Renovado,No renueva"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13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24" customWidth="1" min="4" max="4"/>
    <col width="22" customWidth="1" min="5" max="5"/>
    <col width="18" customWidth="1" min="6" max="6"/>
    <col width="13" customWidth="1" min="7" max="7"/>
    <col width="9" customWidth="1" min="8" max="8"/>
    <col width="34" customWidth="1" min="9" max="9"/>
  </cols>
  <sheetData>
    <row r="1">
      <c r="A1" s="1" t="inlineStr">
        <is>
          <t>CAPÍTULO 8 · MATERIAL PRÁCTICO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Registro de devoluciones y garantías</t>
        </is>
      </c>
    </row>
    <row r="3">
      <c r="A3" s="4" t="inlineStr">
        <is>
          <t>Los patrones que aparezcan son la información más valiosa para mejorar</t>
        </is>
      </c>
    </row>
    <row r="5" ht="30" customHeight="1">
      <c r="A5" s="16" t="inlineStr">
        <is>
          <t>Motivo</t>
        </is>
      </c>
      <c r="B5" s="16" t="inlineStr">
        <is>
          <t>Casos</t>
        </is>
      </c>
    </row>
    <row r="6">
      <c r="A6" s="20" t="inlineStr">
        <is>
          <t>Defecto o avería</t>
        </is>
      </c>
      <c r="B6" s="23">
        <f>COUNTIF($E$14:$E$313,A6)</f>
        <v/>
      </c>
    </row>
    <row r="7">
      <c r="A7" s="20" t="inlineStr">
        <is>
          <t>Error en el envío</t>
        </is>
      </c>
      <c r="B7" s="23">
        <f>COUNTIF($E$14:$E$313,A7)</f>
        <v/>
      </c>
    </row>
    <row r="8">
      <c r="A8" s="20" t="inlineStr">
        <is>
          <t>No cumple lo que esperaba</t>
        </is>
      </c>
      <c r="B8" s="23">
        <f>COUNTIF($E$14:$E$313,A8)</f>
        <v/>
      </c>
    </row>
    <row r="9">
      <c r="A9" s="20" t="inlineStr">
        <is>
          <t>Llegó dañado</t>
        </is>
      </c>
      <c r="B9" s="23">
        <f>COUNTIF($E$14:$E$313,A9)</f>
        <v/>
      </c>
    </row>
    <row r="10">
      <c r="A10" s="20" t="inlineStr">
        <is>
          <t>Otro</t>
        </is>
      </c>
      <c r="B10" s="23">
        <f>COUNTIF($E$14:$E$313,A10)</f>
        <v/>
      </c>
    </row>
    <row r="13" ht="30" customHeight="1">
      <c r="A13" s="16" t="inlineStr">
        <is>
          <t>Código de autorización</t>
        </is>
      </c>
      <c r="B13" s="16" t="inlineStr">
        <is>
          <t>Fecha de solicitud</t>
        </is>
      </c>
      <c r="C13" s="16" t="inlineStr">
        <is>
          <t>Cliente</t>
        </is>
      </c>
      <c r="D13" s="16" t="inlineStr">
        <is>
          <t>Producto</t>
        </is>
      </c>
      <c r="E13" s="16" t="inlineStr">
        <is>
          <t>Motivo</t>
        </is>
      </c>
      <c r="F13" s="16" t="inlineStr">
        <is>
          <t>Estado</t>
        </is>
      </c>
      <c r="G13" s="16" t="inlineStr">
        <is>
          <t>Fecha de resolución</t>
        </is>
      </c>
      <c r="H13" s="16" t="inlineStr">
        <is>
          <t>Días</t>
        </is>
      </c>
      <c r="I13" s="16" t="inlineStr">
        <is>
          <t>Resolución</t>
        </is>
      </c>
    </row>
    <row r="14">
      <c r="A14" s="18" t="n"/>
      <c r="B14" s="21" t="n"/>
      <c r="C14" s="18" t="n"/>
      <c r="D14" s="18" t="n"/>
      <c r="E14" s="18" t="n"/>
      <c r="F14" s="18" t="n"/>
      <c r="G14" s="21" t="n"/>
      <c r="H14" s="23">
        <f>IF(OR(B14="",G14=""),"",G14-B14)</f>
        <v/>
      </c>
      <c r="I14" s="18" t="n"/>
    </row>
    <row r="15">
      <c r="A15" s="18" t="n"/>
      <c r="B15" s="21" t="n"/>
      <c r="C15" s="18" t="n"/>
      <c r="D15" s="18" t="n"/>
      <c r="E15" s="18" t="n"/>
      <c r="F15" s="18" t="n"/>
      <c r="G15" s="21" t="n"/>
      <c r="H15" s="23">
        <f>IF(OR(B15="",G15=""),"",G15-B15)</f>
        <v/>
      </c>
      <c r="I15" s="18" t="n"/>
    </row>
    <row r="16">
      <c r="A16" s="18" t="n"/>
      <c r="B16" s="21" t="n"/>
      <c r="C16" s="18" t="n"/>
      <c r="D16" s="18" t="n"/>
      <c r="E16" s="18" t="n"/>
      <c r="F16" s="18" t="n"/>
      <c r="G16" s="21" t="n"/>
      <c r="H16" s="23">
        <f>IF(OR(B16="",G16=""),"",G16-B16)</f>
        <v/>
      </c>
      <c r="I16" s="18" t="n"/>
    </row>
    <row r="17">
      <c r="A17" s="18" t="n"/>
      <c r="B17" s="21" t="n"/>
      <c r="C17" s="18" t="n"/>
      <c r="D17" s="18" t="n"/>
      <c r="E17" s="18" t="n"/>
      <c r="F17" s="18" t="n"/>
      <c r="G17" s="21" t="n"/>
      <c r="H17" s="23">
        <f>IF(OR(B17="",G17=""),"",G17-B17)</f>
        <v/>
      </c>
      <c r="I17" s="18" t="n"/>
    </row>
    <row r="18">
      <c r="A18" s="18" t="n"/>
      <c r="B18" s="21" t="n"/>
      <c r="C18" s="18" t="n"/>
      <c r="D18" s="18" t="n"/>
      <c r="E18" s="18" t="n"/>
      <c r="F18" s="18" t="n"/>
      <c r="G18" s="21" t="n"/>
      <c r="H18" s="23">
        <f>IF(OR(B18="",G18=""),"",G18-B18)</f>
        <v/>
      </c>
      <c r="I18" s="18" t="n"/>
    </row>
    <row r="19">
      <c r="A19" s="18" t="n"/>
      <c r="B19" s="21" t="n"/>
      <c r="C19" s="18" t="n"/>
      <c r="D19" s="18" t="n"/>
      <c r="E19" s="18" t="n"/>
      <c r="F19" s="18" t="n"/>
      <c r="G19" s="21" t="n"/>
      <c r="H19" s="23">
        <f>IF(OR(B19="",G19=""),"",G19-B19)</f>
        <v/>
      </c>
      <c r="I19" s="18" t="n"/>
    </row>
    <row r="20">
      <c r="A20" s="18" t="n"/>
      <c r="B20" s="21" t="n"/>
      <c r="C20" s="18" t="n"/>
      <c r="D20" s="18" t="n"/>
      <c r="E20" s="18" t="n"/>
      <c r="F20" s="18" t="n"/>
      <c r="G20" s="21" t="n"/>
      <c r="H20" s="23">
        <f>IF(OR(B20="",G20=""),"",G20-B20)</f>
        <v/>
      </c>
      <c r="I20" s="18" t="n"/>
    </row>
    <row r="21">
      <c r="A21" s="18" t="n"/>
      <c r="B21" s="21" t="n"/>
      <c r="C21" s="18" t="n"/>
      <c r="D21" s="18" t="n"/>
      <c r="E21" s="18" t="n"/>
      <c r="F21" s="18" t="n"/>
      <c r="G21" s="21" t="n"/>
      <c r="H21" s="23">
        <f>IF(OR(B21="",G21=""),"",G21-B21)</f>
        <v/>
      </c>
      <c r="I21" s="18" t="n"/>
    </row>
    <row r="22">
      <c r="A22" s="18" t="n"/>
      <c r="B22" s="21" t="n"/>
      <c r="C22" s="18" t="n"/>
      <c r="D22" s="18" t="n"/>
      <c r="E22" s="18" t="n"/>
      <c r="F22" s="18" t="n"/>
      <c r="G22" s="21" t="n"/>
      <c r="H22" s="23">
        <f>IF(OR(B22="",G22=""),"",G22-B22)</f>
        <v/>
      </c>
      <c r="I22" s="18" t="n"/>
    </row>
    <row r="23">
      <c r="A23" s="18" t="n"/>
      <c r="B23" s="21" t="n"/>
      <c r="C23" s="18" t="n"/>
      <c r="D23" s="18" t="n"/>
      <c r="E23" s="18" t="n"/>
      <c r="F23" s="18" t="n"/>
      <c r="G23" s="21" t="n"/>
      <c r="H23" s="23">
        <f>IF(OR(B23="",G23=""),"",G23-B23)</f>
        <v/>
      </c>
      <c r="I23" s="18" t="n"/>
    </row>
    <row r="24">
      <c r="A24" s="18" t="n"/>
      <c r="B24" s="21" t="n"/>
      <c r="C24" s="18" t="n"/>
      <c r="D24" s="18" t="n"/>
      <c r="E24" s="18" t="n"/>
      <c r="F24" s="18" t="n"/>
      <c r="G24" s="21" t="n"/>
      <c r="H24" s="23">
        <f>IF(OR(B24="",G24=""),"",G24-B24)</f>
        <v/>
      </c>
      <c r="I24" s="18" t="n"/>
    </row>
    <row r="25">
      <c r="A25" s="18" t="n"/>
      <c r="B25" s="21" t="n"/>
      <c r="C25" s="18" t="n"/>
      <c r="D25" s="18" t="n"/>
      <c r="E25" s="18" t="n"/>
      <c r="F25" s="18" t="n"/>
      <c r="G25" s="21" t="n"/>
      <c r="H25" s="23">
        <f>IF(OR(B25="",G25=""),"",G25-B25)</f>
        <v/>
      </c>
      <c r="I25" s="18" t="n"/>
    </row>
    <row r="26">
      <c r="A26" s="18" t="n"/>
      <c r="B26" s="21" t="n"/>
      <c r="C26" s="18" t="n"/>
      <c r="D26" s="18" t="n"/>
      <c r="E26" s="18" t="n"/>
      <c r="F26" s="18" t="n"/>
      <c r="G26" s="21" t="n"/>
      <c r="H26" s="23">
        <f>IF(OR(B26="",G26=""),"",G26-B26)</f>
        <v/>
      </c>
      <c r="I26" s="18" t="n"/>
    </row>
    <row r="27">
      <c r="A27" s="18" t="n"/>
      <c r="B27" s="21" t="n"/>
      <c r="C27" s="18" t="n"/>
      <c r="D27" s="18" t="n"/>
      <c r="E27" s="18" t="n"/>
      <c r="F27" s="18" t="n"/>
      <c r="G27" s="21" t="n"/>
      <c r="H27" s="23">
        <f>IF(OR(B27="",G27=""),"",G27-B27)</f>
        <v/>
      </c>
      <c r="I27" s="18" t="n"/>
    </row>
    <row r="28">
      <c r="A28" s="18" t="n"/>
      <c r="B28" s="21" t="n"/>
      <c r="C28" s="18" t="n"/>
      <c r="D28" s="18" t="n"/>
      <c r="E28" s="18" t="n"/>
      <c r="F28" s="18" t="n"/>
      <c r="G28" s="21" t="n"/>
      <c r="H28" s="23">
        <f>IF(OR(B28="",G28=""),"",G28-B28)</f>
        <v/>
      </c>
      <c r="I28" s="18" t="n"/>
    </row>
    <row r="29">
      <c r="A29" s="18" t="n"/>
      <c r="B29" s="21" t="n"/>
      <c r="C29" s="18" t="n"/>
      <c r="D29" s="18" t="n"/>
      <c r="E29" s="18" t="n"/>
      <c r="F29" s="18" t="n"/>
      <c r="G29" s="21" t="n"/>
      <c r="H29" s="23">
        <f>IF(OR(B29="",G29=""),"",G29-B29)</f>
        <v/>
      </c>
      <c r="I29" s="18" t="n"/>
    </row>
    <row r="30">
      <c r="A30" s="18" t="n"/>
      <c r="B30" s="21" t="n"/>
      <c r="C30" s="18" t="n"/>
      <c r="D30" s="18" t="n"/>
      <c r="E30" s="18" t="n"/>
      <c r="F30" s="18" t="n"/>
      <c r="G30" s="21" t="n"/>
      <c r="H30" s="23">
        <f>IF(OR(B30="",G30=""),"",G30-B30)</f>
        <v/>
      </c>
      <c r="I30" s="18" t="n"/>
    </row>
    <row r="31">
      <c r="A31" s="18" t="n"/>
      <c r="B31" s="21" t="n"/>
      <c r="C31" s="18" t="n"/>
      <c r="D31" s="18" t="n"/>
      <c r="E31" s="18" t="n"/>
      <c r="F31" s="18" t="n"/>
      <c r="G31" s="21" t="n"/>
      <c r="H31" s="23">
        <f>IF(OR(B31="",G31=""),"",G31-B31)</f>
        <v/>
      </c>
      <c r="I31" s="18" t="n"/>
    </row>
    <row r="32">
      <c r="A32" s="18" t="n"/>
      <c r="B32" s="21" t="n"/>
      <c r="C32" s="18" t="n"/>
      <c r="D32" s="18" t="n"/>
      <c r="E32" s="18" t="n"/>
      <c r="F32" s="18" t="n"/>
      <c r="G32" s="21" t="n"/>
      <c r="H32" s="23">
        <f>IF(OR(B32="",G32=""),"",G32-B32)</f>
        <v/>
      </c>
      <c r="I32" s="18" t="n"/>
    </row>
    <row r="33">
      <c r="A33" s="18" t="n"/>
      <c r="B33" s="21" t="n"/>
      <c r="C33" s="18" t="n"/>
      <c r="D33" s="18" t="n"/>
      <c r="E33" s="18" t="n"/>
      <c r="F33" s="18" t="n"/>
      <c r="G33" s="21" t="n"/>
      <c r="H33" s="23">
        <f>IF(OR(B33="",G33=""),"",G33-B33)</f>
        <v/>
      </c>
      <c r="I33" s="18" t="n"/>
    </row>
    <row r="34">
      <c r="A34" s="18" t="n"/>
      <c r="B34" s="21" t="n"/>
      <c r="C34" s="18" t="n"/>
      <c r="D34" s="18" t="n"/>
      <c r="E34" s="18" t="n"/>
      <c r="F34" s="18" t="n"/>
      <c r="G34" s="21" t="n"/>
      <c r="H34" s="23">
        <f>IF(OR(B34="",G34=""),"",G34-B34)</f>
        <v/>
      </c>
      <c r="I34" s="18" t="n"/>
    </row>
    <row r="35">
      <c r="A35" s="18" t="n"/>
      <c r="B35" s="21" t="n"/>
      <c r="C35" s="18" t="n"/>
      <c r="D35" s="18" t="n"/>
      <c r="E35" s="18" t="n"/>
      <c r="F35" s="18" t="n"/>
      <c r="G35" s="21" t="n"/>
      <c r="H35" s="23">
        <f>IF(OR(B35="",G35=""),"",G35-B35)</f>
        <v/>
      </c>
      <c r="I35" s="18" t="n"/>
    </row>
    <row r="36">
      <c r="A36" s="18" t="n"/>
      <c r="B36" s="21" t="n"/>
      <c r="C36" s="18" t="n"/>
      <c r="D36" s="18" t="n"/>
      <c r="E36" s="18" t="n"/>
      <c r="F36" s="18" t="n"/>
      <c r="G36" s="21" t="n"/>
      <c r="H36" s="23">
        <f>IF(OR(B36="",G36=""),"",G36-B36)</f>
        <v/>
      </c>
      <c r="I36" s="18" t="n"/>
    </row>
    <row r="37">
      <c r="A37" s="18" t="n"/>
      <c r="B37" s="21" t="n"/>
      <c r="C37" s="18" t="n"/>
      <c r="D37" s="18" t="n"/>
      <c r="E37" s="18" t="n"/>
      <c r="F37" s="18" t="n"/>
      <c r="G37" s="21" t="n"/>
      <c r="H37" s="23">
        <f>IF(OR(B37="",G37=""),"",G37-B37)</f>
        <v/>
      </c>
      <c r="I37" s="18" t="n"/>
    </row>
    <row r="38">
      <c r="A38" s="18" t="n"/>
      <c r="B38" s="21" t="n"/>
      <c r="C38" s="18" t="n"/>
      <c r="D38" s="18" t="n"/>
      <c r="E38" s="18" t="n"/>
      <c r="F38" s="18" t="n"/>
      <c r="G38" s="21" t="n"/>
      <c r="H38" s="23">
        <f>IF(OR(B38="",G38=""),"",G38-B38)</f>
        <v/>
      </c>
      <c r="I38" s="18" t="n"/>
    </row>
    <row r="39">
      <c r="A39" s="18" t="n"/>
      <c r="B39" s="21" t="n"/>
      <c r="C39" s="18" t="n"/>
      <c r="D39" s="18" t="n"/>
      <c r="E39" s="18" t="n"/>
      <c r="F39" s="18" t="n"/>
      <c r="G39" s="21" t="n"/>
      <c r="H39" s="23">
        <f>IF(OR(B39="",G39=""),"",G39-B39)</f>
        <v/>
      </c>
      <c r="I39" s="18" t="n"/>
    </row>
    <row r="40">
      <c r="A40" s="18" t="n"/>
      <c r="B40" s="21" t="n"/>
      <c r="C40" s="18" t="n"/>
      <c r="D40" s="18" t="n"/>
      <c r="E40" s="18" t="n"/>
      <c r="F40" s="18" t="n"/>
      <c r="G40" s="21" t="n"/>
      <c r="H40" s="23">
        <f>IF(OR(B40="",G40=""),"",G40-B40)</f>
        <v/>
      </c>
      <c r="I40" s="18" t="n"/>
    </row>
    <row r="41">
      <c r="A41" s="18" t="n"/>
      <c r="B41" s="21" t="n"/>
      <c r="C41" s="18" t="n"/>
      <c r="D41" s="18" t="n"/>
      <c r="E41" s="18" t="n"/>
      <c r="F41" s="18" t="n"/>
      <c r="G41" s="21" t="n"/>
      <c r="H41" s="23">
        <f>IF(OR(B41="",G41=""),"",G41-B41)</f>
        <v/>
      </c>
      <c r="I41" s="18" t="n"/>
    </row>
    <row r="42">
      <c r="A42" s="18" t="n"/>
      <c r="B42" s="21" t="n"/>
      <c r="C42" s="18" t="n"/>
      <c r="D42" s="18" t="n"/>
      <c r="E42" s="18" t="n"/>
      <c r="F42" s="18" t="n"/>
      <c r="G42" s="21" t="n"/>
      <c r="H42" s="23">
        <f>IF(OR(B42="",G42=""),"",G42-B42)</f>
        <v/>
      </c>
      <c r="I42" s="18" t="n"/>
    </row>
    <row r="43">
      <c r="A43" s="18" t="n"/>
      <c r="B43" s="21" t="n"/>
      <c r="C43" s="18" t="n"/>
      <c r="D43" s="18" t="n"/>
      <c r="E43" s="18" t="n"/>
      <c r="F43" s="18" t="n"/>
      <c r="G43" s="21" t="n"/>
      <c r="H43" s="23">
        <f>IF(OR(B43="",G43=""),"",G43-B43)</f>
        <v/>
      </c>
      <c r="I43" s="18" t="n"/>
    </row>
    <row r="44">
      <c r="A44" s="18" t="n"/>
      <c r="B44" s="21" t="n"/>
      <c r="C44" s="18" t="n"/>
      <c r="D44" s="18" t="n"/>
      <c r="E44" s="18" t="n"/>
      <c r="F44" s="18" t="n"/>
      <c r="G44" s="21" t="n"/>
      <c r="H44" s="23">
        <f>IF(OR(B44="",G44=""),"",G44-B44)</f>
        <v/>
      </c>
      <c r="I44" s="18" t="n"/>
    </row>
    <row r="45">
      <c r="A45" s="18" t="n"/>
      <c r="B45" s="21" t="n"/>
      <c r="C45" s="18" t="n"/>
      <c r="D45" s="18" t="n"/>
      <c r="E45" s="18" t="n"/>
      <c r="F45" s="18" t="n"/>
      <c r="G45" s="21" t="n"/>
      <c r="H45" s="23">
        <f>IF(OR(B45="",G45=""),"",G45-B45)</f>
        <v/>
      </c>
      <c r="I45" s="18" t="n"/>
    </row>
    <row r="46">
      <c r="A46" s="18" t="n"/>
      <c r="B46" s="21" t="n"/>
      <c r="C46" s="18" t="n"/>
      <c r="D46" s="18" t="n"/>
      <c r="E46" s="18" t="n"/>
      <c r="F46" s="18" t="n"/>
      <c r="G46" s="21" t="n"/>
      <c r="H46" s="23">
        <f>IF(OR(B46="",G46=""),"",G46-B46)</f>
        <v/>
      </c>
      <c r="I46" s="18" t="n"/>
    </row>
    <row r="47">
      <c r="A47" s="18" t="n"/>
      <c r="B47" s="21" t="n"/>
      <c r="C47" s="18" t="n"/>
      <c r="D47" s="18" t="n"/>
      <c r="E47" s="18" t="n"/>
      <c r="F47" s="18" t="n"/>
      <c r="G47" s="21" t="n"/>
      <c r="H47" s="23">
        <f>IF(OR(B47="",G47=""),"",G47-B47)</f>
        <v/>
      </c>
      <c r="I47" s="18" t="n"/>
    </row>
    <row r="48">
      <c r="A48" s="18" t="n"/>
      <c r="B48" s="21" t="n"/>
      <c r="C48" s="18" t="n"/>
      <c r="D48" s="18" t="n"/>
      <c r="E48" s="18" t="n"/>
      <c r="F48" s="18" t="n"/>
      <c r="G48" s="21" t="n"/>
      <c r="H48" s="23">
        <f>IF(OR(B48="",G48=""),"",G48-B48)</f>
        <v/>
      </c>
      <c r="I48" s="18" t="n"/>
    </row>
    <row r="49">
      <c r="A49" s="18" t="n"/>
      <c r="B49" s="21" t="n"/>
      <c r="C49" s="18" t="n"/>
      <c r="D49" s="18" t="n"/>
      <c r="E49" s="18" t="n"/>
      <c r="F49" s="18" t="n"/>
      <c r="G49" s="21" t="n"/>
      <c r="H49" s="23">
        <f>IF(OR(B49="",G49=""),"",G49-B49)</f>
        <v/>
      </c>
      <c r="I49" s="18" t="n"/>
    </row>
    <row r="50">
      <c r="A50" s="18" t="n"/>
      <c r="B50" s="21" t="n"/>
      <c r="C50" s="18" t="n"/>
      <c r="D50" s="18" t="n"/>
      <c r="E50" s="18" t="n"/>
      <c r="F50" s="18" t="n"/>
      <c r="G50" s="21" t="n"/>
      <c r="H50" s="23">
        <f>IF(OR(B50="",G50=""),"",G50-B50)</f>
        <v/>
      </c>
      <c r="I50" s="18" t="n"/>
    </row>
    <row r="51">
      <c r="A51" s="18" t="n"/>
      <c r="B51" s="21" t="n"/>
      <c r="C51" s="18" t="n"/>
      <c r="D51" s="18" t="n"/>
      <c r="E51" s="18" t="n"/>
      <c r="F51" s="18" t="n"/>
      <c r="G51" s="21" t="n"/>
      <c r="H51" s="23">
        <f>IF(OR(B51="",G51=""),"",G51-B51)</f>
        <v/>
      </c>
      <c r="I51" s="18" t="n"/>
    </row>
    <row r="52">
      <c r="A52" s="18" t="n"/>
      <c r="B52" s="21" t="n"/>
      <c r="C52" s="18" t="n"/>
      <c r="D52" s="18" t="n"/>
      <c r="E52" s="18" t="n"/>
      <c r="F52" s="18" t="n"/>
      <c r="G52" s="21" t="n"/>
      <c r="H52" s="23">
        <f>IF(OR(B52="",G52=""),"",G52-B52)</f>
        <v/>
      </c>
      <c r="I52" s="18" t="n"/>
    </row>
    <row r="53">
      <c r="A53" s="18" t="n"/>
      <c r="B53" s="21" t="n"/>
      <c r="C53" s="18" t="n"/>
      <c r="D53" s="18" t="n"/>
      <c r="E53" s="18" t="n"/>
      <c r="F53" s="18" t="n"/>
      <c r="G53" s="21" t="n"/>
      <c r="H53" s="23">
        <f>IF(OR(B53="",G53=""),"",G53-B53)</f>
        <v/>
      </c>
      <c r="I53" s="18" t="n"/>
    </row>
    <row r="54">
      <c r="A54" s="18" t="n"/>
      <c r="B54" s="21" t="n"/>
      <c r="C54" s="18" t="n"/>
      <c r="D54" s="18" t="n"/>
      <c r="E54" s="18" t="n"/>
      <c r="F54" s="18" t="n"/>
      <c r="G54" s="21" t="n"/>
      <c r="H54" s="23">
        <f>IF(OR(B54="",G54=""),"",G54-B54)</f>
        <v/>
      </c>
      <c r="I54" s="18" t="n"/>
    </row>
    <row r="55">
      <c r="A55" s="18" t="n"/>
      <c r="B55" s="21" t="n"/>
      <c r="C55" s="18" t="n"/>
      <c r="D55" s="18" t="n"/>
      <c r="E55" s="18" t="n"/>
      <c r="F55" s="18" t="n"/>
      <c r="G55" s="21" t="n"/>
      <c r="H55" s="23">
        <f>IF(OR(B55="",G55=""),"",G55-B55)</f>
        <v/>
      </c>
      <c r="I55" s="18" t="n"/>
    </row>
    <row r="56">
      <c r="A56" s="18" t="n"/>
      <c r="B56" s="21" t="n"/>
      <c r="C56" s="18" t="n"/>
      <c r="D56" s="18" t="n"/>
      <c r="E56" s="18" t="n"/>
      <c r="F56" s="18" t="n"/>
      <c r="G56" s="21" t="n"/>
      <c r="H56" s="23">
        <f>IF(OR(B56="",G56=""),"",G56-B56)</f>
        <v/>
      </c>
      <c r="I56" s="18" t="n"/>
    </row>
    <row r="57">
      <c r="A57" s="18" t="n"/>
      <c r="B57" s="21" t="n"/>
      <c r="C57" s="18" t="n"/>
      <c r="D57" s="18" t="n"/>
      <c r="E57" s="18" t="n"/>
      <c r="F57" s="18" t="n"/>
      <c r="G57" s="21" t="n"/>
      <c r="H57" s="23">
        <f>IF(OR(B57="",G57=""),"",G57-B57)</f>
        <v/>
      </c>
      <c r="I57" s="18" t="n"/>
    </row>
    <row r="58">
      <c r="A58" s="18" t="n"/>
      <c r="B58" s="21" t="n"/>
      <c r="C58" s="18" t="n"/>
      <c r="D58" s="18" t="n"/>
      <c r="E58" s="18" t="n"/>
      <c r="F58" s="18" t="n"/>
      <c r="G58" s="21" t="n"/>
      <c r="H58" s="23">
        <f>IF(OR(B58="",G58=""),"",G58-B58)</f>
        <v/>
      </c>
      <c r="I58" s="18" t="n"/>
    </row>
    <row r="59">
      <c r="A59" s="18" t="n"/>
      <c r="B59" s="21" t="n"/>
      <c r="C59" s="18" t="n"/>
      <c r="D59" s="18" t="n"/>
      <c r="E59" s="18" t="n"/>
      <c r="F59" s="18" t="n"/>
      <c r="G59" s="21" t="n"/>
      <c r="H59" s="23">
        <f>IF(OR(B59="",G59=""),"",G59-B59)</f>
        <v/>
      </c>
      <c r="I59" s="18" t="n"/>
    </row>
    <row r="60">
      <c r="A60" s="18" t="n"/>
      <c r="B60" s="21" t="n"/>
      <c r="C60" s="18" t="n"/>
      <c r="D60" s="18" t="n"/>
      <c r="E60" s="18" t="n"/>
      <c r="F60" s="18" t="n"/>
      <c r="G60" s="21" t="n"/>
      <c r="H60" s="23">
        <f>IF(OR(B60="",G60=""),"",G60-B60)</f>
        <v/>
      </c>
      <c r="I60" s="18" t="n"/>
    </row>
    <row r="61">
      <c r="A61" s="18" t="n"/>
      <c r="B61" s="21" t="n"/>
      <c r="C61" s="18" t="n"/>
      <c r="D61" s="18" t="n"/>
      <c r="E61" s="18" t="n"/>
      <c r="F61" s="18" t="n"/>
      <c r="G61" s="21" t="n"/>
      <c r="H61" s="23">
        <f>IF(OR(B61="",G61=""),"",G61-B61)</f>
        <v/>
      </c>
      <c r="I61" s="18" t="n"/>
    </row>
    <row r="62">
      <c r="A62" s="18" t="n"/>
      <c r="B62" s="21" t="n"/>
      <c r="C62" s="18" t="n"/>
      <c r="D62" s="18" t="n"/>
      <c r="E62" s="18" t="n"/>
      <c r="F62" s="18" t="n"/>
      <c r="G62" s="21" t="n"/>
      <c r="H62" s="23">
        <f>IF(OR(B62="",G62=""),"",G62-B62)</f>
        <v/>
      </c>
      <c r="I62" s="18" t="n"/>
    </row>
    <row r="63">
      <c r="A63" s="18" t="n"/>
      <c r="B63" s="21" t="n"/>
      <c r="C63" s="18" t="n"/>
      <c r="D63" s="18" t="n"/>
      <c r="E63" s="18" t="n"/>
      <c r="F63" s="18" t="n"/>
      <c r="G63" s="21" t="n"/>
      <c r="H63" s="23">
        <f>IF(OR(B63="",G63=""),"",G63-B63)</f>
        <v/>
      </c>
      <c r="I63" s="18" t="n"/>
    </row>
    <row r="64">
      <c r="A64" s="18" t="n"/>
      <c r="B64" s="21" t="n"/>
      <c r="C64" s="18" t="n"/>
      <c r="D64" s="18" t="n"/>
      <c r="E64" s="18" t="n"/>
      <c r="F64" s="18" t="n"/>
      <c r="G64" s="21" t="n"/>
      <c r="H64" s="23">
        <f>IF(OR(B64="",G64=""),"",G64-B64)</f>
        <v/>
      </c>
      <c r="I64" s="18" t="n"/>
    </row>
    <row r="65">
      <c r="A65" s="18" t="n"/>
      <c r="B65" s="21" t="n"/>
      <c r="C65" s="18" t="n"/>
      <c r="D65" s="18" t="n"/>
      <c r="E65" s="18" t="n"/>
      <c r="F65" s="18" t="n"/>
      <c r="G65" s="21" t="n"/>
      <c r="H65" s="23">
        <f>IF(OR(B65="",G65=""),"",G65-B65)</f>
        <v/>
      </c>
      <c r="I65" s="18" t="n"/>
    </row>
    <row r="66">
      <c r="A66" s="18" t="n"/>
      <c r="B66" s="21" t="n"/>
      <c r="C66" s="18" t="n"/>
      <c r="D66" s="18" t="n"/>
      <c r="E66" s="18" t="n"/>
      <c r="F66" s="18" t="n"/>
      <c r="G66" s="21" t="n"/>
      <c r="H66" s="23">
        <f>IF(OR(B66="",G66=""),"",G66-B66)</f>
        <v/>
      </c>
      <c r="I66" s="18" t="n"/>
    </row>
    <row r="67">
      <c r="A67" s="18" t="n"/>
      <c r="B67" s="21" t="n"/>
      <c r="C67" s="18" t="n"/>
      <c r="D67" s="18" t="n"/>
      <c r="E67" s="18" t="n"/>
      <c r="F67" s="18" t="n"/>
      <c r="G67" s="21" t="n"/>
      <c r="H67" s="23">
        <f>IF(OR(B67="",G67=""),"",G67-B67)</f>
        <v/>
      </c>
      <c r="I67" s="18" t="n"/>
    </row>
    <row r="68">
      <c r="A68" s="18" t="n"/>
      <c r="B68" s="21" t="n"/>
      <c r="C68" s="18" t="n"/>
      <c r="D68" s="18" t="n"/>
      <c r="E68" s="18" t="n"/>
      <c r="F68" s="18" t="n"/>
      <c r="G68" s="21" t="n"/>
      <c r="H68" s="23">
        <f>IF(OR(B68="",G68=""),"",G68-B68)</f>
        <v/>
      </c>
      <c r="I68" s="18" t="n"/>
    </row>
    <row r="69">
      <c r="A69" s="18" t="n"/>
      <c r="B69" s="21" t="n"/>
      <c r="C69" s="18" t="n"/>
      <c r="D69" s="18" t="n"/>
      <c r="E69" s="18" t="n"/>
      <c r="F69" s="18" t="n"/>
      <c r="G69" s="21" t="n"/>
      <c r="H69" s="23">
        <f>IF(OR(B69="",G69=""),"",G69-B69)</f>
        <v/>
      </c>
      <c r="I69" s="18" t="n"/>
    </row>
    <row r="70">
      <c r="A70" s="18" t="n"/>
      <c r="B70" s="21" t="n"/>
      <c r="C70" s="18" t="n"/>
      <c r="D70" s="18" t="n"/>
      <c r="E70" s="18" t="n"/>
      <c r="F70" s="18" t="n"/>
      <c r="G70" s="21" t="n"/>
      <c r="H70" s="23">
        <f>IF(OR(B70="",G70=""),"",G70-B70)</f>
        <v/>
      </c>
      <c r="I70" s="18" t="n"/>
    </row>
    <row r="71">
      <c r="A71" s="18" t="n"/>
      <c r="B71" s="21" t="n"/>
      <c r="C71" s="18" t="n"/>
      <c r="D71" s="18" t="n"/>
      <c r="E71" s="18" t="n"/>
      <c r="F71" s="18" t="n"/>
      <c r="G71" s="21" t="n"/>
      <c r="H71" s="23">
        <f>IF(OR(B71="",G71=""),"",G71-B71)</f>
        <v/>
      </c>
      <c r="I71" s="18" t="n"/>
    </row>
    <row r="72">
      <c r="A72" s="18" t="n"/>
      <c r="B72" s="21" t="n"/>
      <c r="C72" s="18" t="n"/>
      <c r="D72" s="18" t="n"/>
      <c r="E72" s="18" t="n"/>
      <c r="F72" s="18" t="n"/>
      <c r="G72" s="21" t="n"/>
      <c r="H72" s="23">
        <f>IF(OR(B72="",G72=""),"",G72-B72)</f>
        <v/>
      </c>
      <c r="I72" s="18" t="n"/>
    </row>
    <row r="73">
      <c r="A73" s="18" t="n"/>
      <c r="B73" s="21" t="n"/>
      <c r="C73" s="18" t="n"/>
      <c r="D73" s="18" t="n"/>
      <c r="E73" s="18" t="n"/>
      <c r="F73" s="18" t="n"/>
      <c r="G73" s="21" t="n"/>
      <c r="H73" s="23">
        <f>IF(OR(B73="",G73=""),"",G73-B73)</f>
        <v/>
      </c>
      <c r="I73" s="18" t="n"/>
    </row>
    <row r="74">
      <c r="A74" s="18" t="n"/>
      <c r="B74" s="21" t="n"/>
      <c r="C74" s="18" t="n"/>
      <c r="D74" s="18" t="n"/>
      <c r="E74" s="18" t="n"/>
      <c r="F74" s="18" t="n"/>
      <c r="G74" s="21" t="n"/>
      <c r="H74" s="23">
        <f>IF(OR(B74="",G74=""),"",G74-B74)</f>
        <v/>
      </c>
      <c r="I74" s="18" t="n"/>
    </row>
    <row r="75">
      <c r="A75" s="18" t="n"/>
      <c r="B75" s="21" t="n"/>
      <c r="C75" s="18" t="n"/>
      <c r="D75" s="18" t="n"/>
      <c r="E75" s="18" t="n"/>
      <c r="F75" s="18" t="n"/>
      <c r="G75" s="21" t="n"/>
      <c r="H75" s="23">
        <f>IF(OR(B75="",G75=""),"",G75-B75)</f>
        <v/>
      </c>
      <c r="I75" s="18" t="n"/>
    </row>
    <row r="76">
      <c r="A76" s="18" t="n"/>
      <c r="B76" s="21" t="n"/>
      <c r="C76" s="18" t="n"/>
      <c r="D76" s="18" t="n"/>
      <c r="E76" s="18" t="n"/>
      <c r="F76" s="18" t="n"/>
      <c r="G76" s="21" t="n"/>
      <c r="H76" s="23">
        <f>IF(OR(B76="",G76=""),"",G76-B76)</f>
        <v/>
      </c>
      <c r="I76" s="18" t="n"/>
    </row>
    <row r="77">
      <c r="A77" s="18" t="n"/>
      <c r="B77" s="21" t="n"/>
      <c r="C77" s="18" t="n"/>
      <c r="D77" s="18" t="n"/>
      <c r="E77" s="18" t="n"/>
      <c r="F77" s="18" t="n"/>
      <c r="G77" s="21" t="n"/>
      <c r="H77" s="23">
        <f>IF(OR(B77="",G77=""),"",G77-B77)</f>
        <v/>
      </c>
      <c r="I77" s="18" t="n"/>
    </row>
    <row r="78">
      <c r="A78" s="18" t="n"/>
      <c r="B78" s="21" t="n"/>
      <c r="C78" s="18" t="n"/>
      <c r="D78" s="18" t="n"/>
      <c r="E78" s="18" t="n"/>
      <c r="F78" s="18" t="n"/>
      <c r="G78" s="21" t="n"/>
      <c r="H78" s="23">
        <f>IF(OR(B78="",G78=""),"",G78-B78)</f>
        <v/>
      </c>
      <c r="I78" s="18" t="n"/>
    </row>
    <row r="79">
      <c r="A79" s="18" t="n"/>
      <c r="B79" s="21" t="n"/>
      <c r="C79" s="18" t="n"/>
      <c r="D79" s="18" t="n"/>
      <c r="E79" s="18" t="n"/>
      <c r="F79" s="18" t="n"/>
      <c r="G79" s="21" t="n"/>
      <c r="H79" s="23">
        <f>IF(OR(B79="",G79=""),"",G79-B79)</f>
        <v/>
      </c>
      <c r="I79" s="18" t="n"/>
    </row>
    <row r="80">
      <c r="A80" s="18" t="n"/>
      <c r="B80" s="21" t="n"/>
      <c r="C80" s="18" t="n"/>
      <c r="D80" s="18" t="n"/>
      <c r="E80" s="18" t="n"/>
      <c r="F80" s="18" t="n"/>
      <c r="G80" s="21" t="n"/>
      <c r="H80" s="23">
        <f>IF(OR(B80="",G80=""),"",G80-B80)</f>
        <v/>
      </c>
      <c r="I80" s="18" t="n"/>
    </row>
    <row r="81">
      <c r="A81" s="18" t="n"/>
      <c r="B81" s="21" t="n"/>
      <c r="C81" s="18" t="n"/>
      <c r="D81" s="18" t="n"/>
      <c r="E81" s="18" t="n"/>
      <c r="F81" s="18" t="n"/>
      <c r="G81" s="21" t="n"/>
      <c r="H81" s="23">
        <f>IF(OR(B81="",G81=""),"",G81-B81)</f>
        <v/>
      </c>
      <c r="I81" s="18" t="n"/>
    </row>
    <row r="82">
      <c r="A82" s="18" t="n"/>
      <c r="B82" s="21" t="n"/>
      <c r="C82" s="18" t="n"/>
      <c r="D82" s="18" t="n"/>
      <c r="E82" s="18" t="n"/>
      <c r="F82" s="18" t="n"/>
      <c r="G82" s="21" t="n"/>
      <c r="H82" s="23">
        <f>IF(OR(B82="",G82=""),"",G82-B82)</f>
        <v/>
      </c>
      <c r="I82" s="18" t="n"/>
    </row>
    <row r="83">
      <c r="A83" s="18" t="n"/>
      <c r="B83" s="21" t="n"/>
      <c r="C83" s="18" t="n"/>
      <c r="D83" s="18" t="n"/>
      <c r="E83" s="18" t="n"/>
      <c r="F83" s="18" t="n"/>
      <c r="G83" s="21" t="n"/>
      <c r="H83" s="23">
        <f>IF(OR(B83="",G83=""),"",G83-B83)</f>
        <v/>
      </c>
      <c r="I83" s="18" t="n"/>
    </row>
    <row r="84">
      <c r="A84" s="18" t="n"/>
      <c r="B84" s="21" t="n"/>
      <c r="C84" s="18" t="n"/>
      <c r="D84" s="18" t="n"/>
      <c r="E84" s="18" t="n"/>
      <c r="F84" s="18" t="n"/>
      <c r="G84" s="21" t="n"/>
      <c r="H84" s="23">
        <f>IF(OR(B84="",G84=""),"",G84-B84)</f>
        <v/>
      </c>
      <c r="I84" s="18" t="n"/>
    </row>
    <row r="85">
      <c r="A85" s="18" t="n"/>
      <c r="B85" s="21" t="n"/>
      <c r="C85" s="18" t="n"/>
      <c r="D85" s="18" t="n"/>
      <c r="E85" s="18" t="n"/>
      <c r="F85" s="18" t="n"/>
      <c r="G85" s="21" t="n"/>
      <c r="H85" s="23">
        <f>IF(OR(B85="",G85=""),"",G85-B85)</f>
        <v/>
      </c>
      <c r="I85" s="18" t="n"/>
    </row>
    <row r="86">
      <c r="A86" s="18" t="n"/>
      <c r="B86" s="21" t="n"/>
      <c r="C86" s="18" t="n"/>
      <c r="D86" s="18" t="n"/>
      <c r="E86" s="18" t="n"/>
      <c r="F86" s="18" t="n"/>
      <c r="G86" s="21" t="n"/>
      <c r="H86" s="23">
        <f>IF(OR(B86="",G86=""),"",G86-B86)</f>
        <v/>
      </c>
      <c r="I86" s="18" t="n"/>
    </row>
    <row r="87">
      <c r="A87" s="18" t="n"/>
      <c r="B87" s="21" t="n"/>
      <c r="C87" s="18" t="n"/>
      <c r="D87" s="18" t="n"/>
      <c r="E87" s="18" t="n"/>
      <c r="F87" s="18" t="n"/>
      <c r="G87" s="21" t="n"/>
      <c r="H87" s="23">
        <f>IF(OR(B87="",G87=""),"",G87-B87)</f>
        <v/>
      </c>
      <c r="I87" s="18" t="n"/>
    </row>
    <row r="88">
      <c r="A88" s="18" t="n"/>
      <c r="B88" s="21" t="n"/>
      <c r="C88" s="18" t="n"/>
      <c r="D88" s="18" t="n"/>
      <c r="E88" s="18" t="n"/>
      <c r="F88" s="18" t="n"/>
      <c r="G88" s="21" t="n"/>
      <c r="H88" s="23">
        <f>IF(OR(B88="",G88=""),"",G88-B88)</f>
        <v/>
      </c>
      <c r="I88" s="18" t="n"/>
    </row>
    <row r="89">
      <c r="A89" s="18" t="n"/>
      <c r="B89" s="21" t="n"/>
      <c r="C89" s="18" t="n"/>
      <c r="D89" s="18" t="n"/>
      <c r="E89" s="18" t="n"/>
      <c r="F89" s="18" t="n"/>
      <c r="G89" s="21" t="n"/>
      <c r="H89" s="23">
        <f>IF(OR(B89="",G89=""),"",G89-B89)</f>
        <v/>
      </c>
      <c r="I89" s="18" t="n"/>
    </row>
    <row r="90">
      <c r="A90" s="18" t="n"/>
      <c r="B90" s="21" t="n"/>
      <c r="C90" s="18" t="n"/>
      <c r="D90" s="18" t="n"/>
      <c r="E90" s="18" t="n"/>
      <c r="F90" s="18" t="n"/>
      <c r="G90" s="21" t="n"/>
      <c r="H90" s="23">
        <f>IF(OR(B90="",G90=""),"",G90-B90)</f>
        <v/>
      </c>
      <c r="I90" s="18" t="n"/>
    </row>
    <row r="91">
      <c r="A91" s="18" t="n"/>
      <c r="B91" s="21" t="n"/>
      <c r="C91" s="18" t="n"/>
      <c r="D91" s="18" t="n"/>
      <c r="E91" s="18" t="n"/>
      <c r="F91" s="18" t="n"/>
      <c r="G91" s="21" t="n"/>
      <c r="H91" s="23">
        <f>IF(OR(B91="",G91=""),"",G91-B91)</f>
        <v/>
      </c>
      <c r="I91" s="18" t="n"/>
    </row>
    <row r="92">
      <c r="A92" s="18" t="n"/>
      <c r="B92" s="21" t="n"/>
      <c r="C92" s="18" t="n"/>
      <c r="D92" s="18" t="n"/>
      <c r="E92" s="18" t="n"/>
      <c r="F92" s="18" t="n"/>
      <c r="G92" s="21" t="n"/>
      <c r="H92" s="23">
        <f>IF(OR(B92="",G92=""),"",G92-B92)</f>
        <v/>
      </c>
      <c r="I92" s="18" t="n"/>
    </row>
    <row r="93">
      <c r="A93" s="18" t="n"/>
      <c r="B93" s="21" t="n"/>
      <c r="C93" s="18" t="n"/>
      <c r="D93" s="18" t="n"/>
      <c r="E93" s="18" t="n"/>
      <c r="F93" s="18" t="n"/>
      <c r="G93" s="21" t="n"/>
      <c r="H93" s="23">
        <f>IF(OR(B93="",G93=""),"",G93-B93)</f>
        <v/>
      </c>
      <c r="I93" s="18" t="n"/>
    </row>
    <row r="94">
      <c r="A94" s="18" t="n"/>
      <c r="B94" s="21" t="n"/>
      <c r="C94" s="18" t="n"/>
      <c r="D94" s="18" t="n"/>
      <c r="E94" s="18" t="n"/>
      <c r="F94" s="18" t="n"/>
      <c r="G94" s="21" t="n"/>
      <c r="H94" s="23">
        <f>IF(OR(B94="",G94=""),"",G94-B94)</f>
        <v/>
      </c>
      <c r="I94" s="18" t="n"/>
    </row>
    <row r="95">
      <c r="A95" s="18" t="n"/>
      <c r="B95" s="21" t="n"/>
      <c r="C95" s="18" t="n"/>
      <c r="D95" s="18" t="n"/>
      <c r="E95" s="18" t="n"/>
      <c r="F95" s="18" t="n"/>
      <c r="G95" s="21" t="n"/>
      <c r="H95" s="23">
        <f>IF(OR(B95="",G95=""),"",G95-B95)</f>
        <v/>
      </c>
      <c r="I95" s="18" t="n"/>
    </row>
    <row r="96">
      <c r="A96" s="18" t="n"/>
      <c r="B96" s="21" t="n"/>
      <c r="C96" s="18" t="n"/>
      <c r="D96" s="18" t="n"/>
      <c r="E96" s="18" t="n"/>
      <c r="F96" s="18" t="n"/>
      <c r="G96" s="21" t="n"/>
      <c r="H96" s="23">
        <f>IF(OR(B96="",G96=""),"",G96-B96)</f>
        <v/>
      </c>
      <c r="I96" s="18" t="n"/>
    </row>
    <row r="97">
      <c r="A97" s="18" t="n"/>
      <c r="B97" s="21" t="n"/>
      <c r="C97" s="18" t="n"/>
      <c r="D97" s="18" t="n"/>
      <c r="E97" s="18" t="n"/>
      <c r="F97" s="18" t="n"/>
      <c r="G97" s="21" t="n"/>
      <c r="H97" s="23">
        <f>IF(OR(B97="",G97=""),"",G97-B97)</f>
        <v/>
      </c>
      <c r="I97" s="18" t="n"/>
    </row>
    <row r="98">
      <c r="A98" s="18" t="n"/>
      <c r="B98" s="21" t="n"/>
      <c r="C98" s="18" t="n"/>
      <c r="D98" s="18" t="n"/>
      <c r="E98" s="18" t="n"/>
      <c r="F98" s="18" t="n"/>
      <c r="G98" s="21" t="n"/>
      <c r="H98" s="23">
        <f>IF(OR(B98="",G98=""),"",G98-B98)</f>
        <v/>
      </c>
      <c r="I98" s="18" t="n"/>
    </row>
    <row r="99">
      <c r="A99" s="18" t="n"/>
      <c r="B99" s="21" t="n"/>
      <c r="C99" s="18" t="n"/>
      <c r="D99" s="18" t="n"/>
      <c r="E99" s="18" t="n"/>
      <c r="F99" s="18" t="n"/>
      <c r="G99" s="21" t="n"/>
      <c r="H99" s="23">
        <f>IF(OR(B99="",G99=""),"",G99-B99)</f>
        <v/>
      </c>
      <c r="I99" s="18" t="n"/>
    </row>
    <row r="100">
      <c r="A100" s="18" t="n"/>
      <c r="B100" s="21" t="n"/>
      <c r="C100" s="18" t="n"/>
      <c r="D100" s="18" t="n"/>
      <c r="E100" s="18" t="n"/>
      <c r="F100" s="18" t="n"/>
      <c r="G100" s="21" t="n"/>
      <c r="H100" s="23">
        <f>IF(OR(B100="",G100=""),"",G100-B100)</f>
        <v/>
      </c>
      <c r="I100" s="18" t="n"/>
    </row>
    <row r="101">
      <c r="A101" s="18" t="n"/>
      <c r="B101" s="21" t="n"/>
      <c r="C101" s="18" t="n"/>
      <c r="D101" s="18" t="n"/>
      <c r="E101" s="18" t="n"/>
      <c r="F101" s="18" t="n"/>
      <c r="G101" s="21" t="n"/>
      <c r="H101" s="23">
        <f>IF(OR(B101="",G101=""),"",G101-B101)</f>
        <v/>
      </c>
      <c r="I101" s="18" t="n"/>
    </row>
    <row r="102">
      <c r="A102" s="18" t="n"/>
      <c r="B102" s="21" t="n"/>
      <c r="C102" s="18" t="n"/>
      <c r="D102" s="18" t="n"/>
      <c r="E102" s="18" t="n"/>
      <c r="F102" s="18" t="n"/>
      <c r="G102" s="21" t="n"/>
      <c r="H102" s="23">
        <f>IF(OR(B102="",G102=""),"",G102-B102)</f>
        <v/>
      </c>
      <c r="I102" s="18" t="n"/>
    </row>
    <row r="103">
      <c r="A103" s="18" t="n"/>
      <c r="B103" s="21" t="n"/>
      <c r="C103" s="18" t="n"/>
      <c r="D103" s="18" t="n"/>
      <c r="E103" s="18" t="n"/>
      <c r="F103" s="18" t="n"/>
      <c r="G103" s="21" t="n"/>
      <c r="H103" s="23">
        <f>IF(OR(B103="",G103=""),"",G103-B103)</f>
        <v/>
      </c>
      <c r="I103" s="18" t="n"/>
    </row>
    <row r="104">
      <c r="A104" s="18" t="n"/>
      <c r="B104" s="21" t="n"/>
      <c r="C104" s="18" t="n"/>
      <c r="D104" s="18" t="n"/>
      <c r="E104" s="18" t="n"/>
      <c r="F104" s="18" t="n"/>
      <c r="G104" s="21" t="n"/>
      <c r="H104" s="23">
        <f>IF(OR(B104="",G104=""),"",G104-B104)</f>
        <v/>
      </c>
      <c r="I104" s="18" t="n"/>
    </row>
    <row r="105">
      <c r="A105" s="18" t="n"/>
      <c r="B105" s="21" t="n"/>
      <c r="C105" s="18" t="n"/>
      <c r="D105" s="18" t="n"/>
      <c r="E105" s="18" t="n"/>
      <c r="F105" s="18" t="n"/>
      <c r="G105" s="21" t="n"/>
      <c r="H105" s="23">
        <f>IF(OR(B105="",G105=""),"",G105-B105)</f>
        <v/>
      </c>
      <c r="I105" s="18" t="n"/>
    </row>
    <row r="106">
      <c r="A106" s="18" t="n"/>
      <c r="B106" s="21" t="n"/>
      <c r="C106" s="18" t="n"/>
      <c r="D106" s="18" t="n"/>
      <c r="E106" s="18" t="n"/>
      <c r="F106" s="18" t="n"/>
      <c r="G106" s="21" t="n"/>
      <c r="H106" s="23">
        <f>IF(OR(B106="",G106=""),"",G106-B106)</f>
        <v/>
      </c>
      <c r="I106" s="18" t="n"/>
    </row>
    <row r="107">
      <c r="A107" s="18" t="n"/>
      <c r="B107" s="21" t="n"/>
      <c r="C107" s="18" t="n"/>
      <c r="D107" s="18" t="n"/>
      <c r="E107" s="18" t="n"/>
      <c r="F107" s="18" t="n"/>
      <c r="G107" s="21" t="n"/>
      <c r="H107" s="23">
        <f>IF(OR(B107="",G107=""),"",G107-B107)</f>
        <v/>
      </c>
      <c r="I107" s="18" t="n"/>
    </row>
    <row r="108">
      <c r="A108" s="18" t="n"/>
      <c r="B108" s="21" t="n"/>
      <c r="C108" s="18" t="n"/>
      <c r="D108" s="18" t="n"/>
      <c r="E108" s="18" t="n"/>
      <c r="F108" s="18" t="n"/>
      <c r="G108" s="21" t="n"/>
      <c r="H108" s="23">
        <f>IF(OR(B108="",G108=""),"",G108-B108)</f>
        <v/>
      </c>
      <c r="I108" s="18" t="n"/>
    </row>
    <row r="109">
      <c r="A109" s="18" t="n"/>
      <c r="B109" s="21" t="n"/>
      <c r="C109" s="18" t="n"/>
      <c r="D109" s="18" t="n"/>
      <c r="E109" s="18" t="n"/>
      <c r="F109" s="18" t="n"/>
      <c r="G109" s="21" t="n"/>
      <c r="H109" s="23">
        <f>IF(OR(B109="",G109=""),"",G109-B109)</f>
        <v/>
      </c>
      <c r="I109" s="18" t="n"/>
    </row>
    <row r="110">
      <c r="A110" s="18" t="n"/>
      <c r="B110" s="21" t="n"/>
      <c r="C110" s="18" t="n"/>
      <c r="D110" s="18" t="n"/>
      <c r="E110" s="18" t="n"/>
      <c r="F110" s="18" t="n"/>
      <c r="G110" s="21" t="n"/>
      <c r="H110" s="23">
        <f>IF(OR(B110="",G110=""),"",G110-B110)</f>
        <v/>
      </c>
      <c r="I110" s="18" t="n"/>
    </row>
    <row r="111">
      <c r="A111" s="18" t="n"/>
      <c r="B111" s="21" t="n"/>
      <c r="C111" s="18" t="n"/>
      <c r="D111" s="18" t="n"/>
      <c r="E111" s="18" t="n"/>
      <c r="F111" s="18" t="n"/>
      <c r="G111" s="21" t="n"/>
      <c r="H111" s="23">
        <f>IF(OR(B111="",G111=""),"",G111-B111)</f>
        <v/>
      </c>
      <c r="I111" s="18" t="n"/>
    </row>
    <row r="112">
      <c r="A112" s="18" t="n"/>
      <c r="B112" s="21" t="n"/>
      <c r="C112" s="18" t="n"/>
      <c r="D112" s="18" t="n"/>
      <c r="E112" s="18" t="n"/>
      <c r="F112" s="18" t="n"/>
      <c r="G112" s="21" t="n"/>
      <c r="H112" s="23">
        <f>IF(OR(B112="",G112=""),"",G112-B112)</f>
        <v/>
      </c>
      <c r="I112" s="18" t="n"/>
    </row>
    <row r="113">
      <c r="A113" s="18" t="n"/>
      <c r="B113" s="21" t="n"/>
      <c r="C113" s="18" t="n"/>
      <c r="D113" s="18" t="n"/>
      <c r="E113" s="18" t="n"/>
      <c r="F113" s="18" t="n"/>
      <c r="G113" s="21" t="n"/>
      <c r="H113" s="23">
        <f>IF(OR(B113="",G113=""),"",G113-B113)</f>
        <v/>
      </c>
      <c r="I113" s="18" t="n"/>
    </row>
    <row r="114">
      <c r="A114" s="18" t="n"/>
      <c r="B114" s="21" t="n"/>
      <c r="C114" s="18" t="n"/>
      <c r="D114" s="18" t="n"/>
      <c r="E114" s="18" t="n"/>
      <c r="F114" s="18" t="n"/>
      <c r="G114" s="21" t="n"/>
      <c r="H114" s="23">
        <f>IF(OR(B114="",G114=""),"",G114-B114)</f>
        <v/>
      </c>
      <c r="I114" s="18" t="n"/>
    </row>
    <row r="115">
      <c r="A115" s="18" t="n"/>
      <c r="B115" s="21" t="n"/>
      <c r="C115" s="18" t="n"/>
      <c r="D115" s="18" t="n"/>
      <c r="E115" s="18" t="n"/>
      <c r="F115" s="18" t="n"/>
      <c r="G115" s="21" t="n"/>
      <c r="H115" s="23">
        <f>IF(OR(B115="",G115=""),"",G115-B115)</f>
        <v/>
      </c>
      <c r="I115" s="18" t="n"/>
    </row>
    <row r="116">
      <c r="A116" s="18" t="n"/>
      <c r="B116" s="21" t="n"/>
      <c r="C116" s="18" t="n"/>
      <c r="D116" s="18" t="n"/>
      <c r="E116" s="18" t="n"/>
      <c r="F116" s="18" t="n"/>
      <c r="G116" s="21" t="n"/>
      <c r="H116" s="23">
        <f>IF(OR(B116="",G116=""),"",G116-B116)</f>
        <v/>
      </c>
      <c r="I116" s="18" t="n"/>
    </row>
    <row r="117">
      <c r="A117" s="18" t="n"/>
      <c r="B117" s="21" t="n"/>
      <c r="C117" s="18" t="n"/>
      <c r="D117" s="18" t="n"/>
      <c r="E117" s="18" t="n"/>
      <c r="F117" s="18" t="n"/>
      <c r="G117" s="21" t="n"/>
      <c r="H117" s="23">
        <f>IF(OR(B117="",G117=""),"",G117-B117)</f>
        <v/>
      </c>
      <c r="I117" s="18" t="n"/>
    </row>
    <row r="118">
      <c r="A118" s="18" t="n"/>
      <c r="B118" s="21" t="n"/>
      <c r="C118" s="18" t="n"/>
      <c r="D118" s="18" t="n"/>
      <c r="E118" s="18" t="n"/>
      <c r="F118" s="18" t="n"/>
      <c r="G118" s="21" t="n"/>
      <c r="H118" s="23">
        <f>IF(OR(B118="",G118=""),"",G118-B118)</f>
        <v/>
      </c>
      <c r="I118" s="18" t="n"/>
    </row>
    <row r="119">
      <c r="A119" s="18" t="n"/>
      <c r="B119" s="21" t="n"/>
      <c r="C119" s="18" t="n"/>
      <c r="D119" s="18" t="n"/>
      <c r="E119" s="18" t="n"/>
      <c r="F119" s="18" t="n"/>
      <c r="G119" s="21" t="n"/>
      <c r="H119" s="23">
        <f>IF(OR(B119="",G119=""),"",G119-B119)</f>
        <v/>
      </c>
      <c r="I119" s="18" t="n"/>
    </row>
    <row r="120">
      <c r="A120" s="18" t="n"/>
      <c r="B120" s="21" t="n"/>
      <c r="C120" s="18" t="n"/>
      <c r="D120" s="18" t="n"/>
      <c r="E120" s="18" t="n"/>
      <c r="F120" s="18" t="n"/>
      <c r="G120" s="21" t="n"/>
      <c r="H120" s="23">
        <f>IF(OR(B120="",G120=""),"",G120-B120)</f>
        <v/>
      </c>
      <c r="I120" s="18" t="n"/>
    </row>
    <row r="121">
      <c r="A121" s="18" t="n"/>
      <c r="B121" s="21" t="n"/>
      <c r="C121" s="18" t="n"/>
      <c r="D121" s="18" t="n"/>
      <c r="E121" s="18" t="n"/>
      <c r="F121" s="18" t="n"/>
      <c r="G121" s="21" t="n"/>
      <c r="H121" s="23">
        <f>IF(OR(B121="",G121=""),"",G121-B121)</f>
        <v/>
      </c>
      <c r="I121" s="18" t="n"/>
    </row>
    <row r="122">
      <c r="A122" s="18" t="n"/>
      <c r="B122" s="21" t="n"/>
      <c r="C122" s="18" t="n"/>
      <c r="D122" s="18" t="n"/>
      <c r="E122" s="18" t="n"/>
      <c r="F122" s="18" t="n"/>
      <c r="G122" s="21" t="n"/>
      <c r="H122" s="23">
        <f>IF(OR(B122="",G122=""),"",G122-B122)</f>
        <v/>
      </c>
      <c r="I122" s="18" t="n"/>
    </row>
    <row r="123">
      <c r="A123" s="18" t="n"/>
      <c r="B123" s="21" t="n"/>
      <c r="C123" s="18" t="n"/>
      <c r="D123" s="18" t="n"/>
      <c r="E123" s="18" t="n"/>
      <c r="F123" s="18" t="n"/>
      <c r="G123" s="21" t="n"/>
      <c r="H123" s="23">
        <f>IF(OR(B123="",G123=""),"",G123-B123)</f>
        <v/>
      </c>
      <c r="I123" s="18" t="n"/>
    </row>
    <row r="124">
      <c r="A124" s="18" t="n"/>
      <c r="B124" s="21" t="n"/>
      <c r="C124" s="18" t="n"/>
      <c r="D124" s="18" t="n"/>
      <c r="E124" s="18" t="n"/>
      <c r="F124" s="18" t="n"/>
      <c r="G124" s="21" t="n"/>
      <c r="H124" s="23">
        <f>IF(OR(B124="",G124=""),"",G124-B124)</f>
        <v/>
      </c>
      <c r="I124" s="18" t="n"/>
    </row>
    <row r="125">
      <c r="A125" s="18" t="n"/>
      <c r="B125" s="21" t="n"/>
      <c r="C125" s="18" t="n"/>
      <c r="D125" s="18" t="n"/>
      <c r="E125" s="18" t="n"/>
      <c r="F125" s="18" t="n"/>
      <c r="G125" s="21" t="n"/>
      <c r="H125" s="23">
        <f>IF(OR(B125="",G125=""),"",G125-B125)</f>
        <v/>
      </c>
      <c r="I125" s="18" t="n"/>
    </row>
    <row r="126">
      <c r="A126" s="18" t="n"/>
      <c r="B126" s="21" t="n"/>
      <c r="C126" s="18" t="n"/>
      <c r="D126" s="18" t="n"/>
      <c r="E126" s="18" t="n"/>
      <c r="F126" s="18" t="n"/>
      <c r="G126" s="21" t="n"/>
      <c r="H126" s="23">
        <f>IF(OR(B126="",G126=""),"",G126-B126)</f>
        <v/>
      </c>
      <c r="I126" s="18" t="n"/>
    </row>
    <row r="127">
      <c r="A127" s="18" t="n"/>
      <c r="B127" s="21" t="n"/>
      <c r="C127" s="18" t="n"/>
      <c r="D127" s="18" t="n"/>
      <c r="E127" s="18" t="n"/>
      <c r="F127" s="18" t="n"/>
      <c r="G127" s="21" t="n"/>
      <c r="H127" s="23">
        <f>IF(OR(B127="",G127=""),"",G127-B127)</f>
        <v/>
      </c>
      <c r="I127" s="18" t="n"/>
    </row>
    <row r="128">
      <c r="A128" s="18" t="n"/>
      <c r="B128" s="21" t="n"/>
      <c r="C128" s="18" t="n"/>
      <c r="D128" s="18" t="n"/>
      <c r="E128" s="18" t="n"/>
      <c r="F128" s="18" t="n"/>
      <c r="G128" s="21" t="n"/>
      <c r="H128" s="23">
        <f>IF(OR(B128="",G128=""),"",G128-B128)</f>
        <v/>
      </c>
      <c r="I128" s="18" t="n"/>
    </row>
    <row r="129">
      <c r="A129" s="18" t="n"/>
      <c r="B129" s="21" t="n"/>
      <c r="C129" s="18" t="n"/>
      <c r="D129" s="18" t="n"/>
      <c r="E129" s="18" t="n"/>
      <c r="F129" s="18" t="n"/>
      <c r="G129" s="21" t="n"/>
      <c r="H129" s="23">
        <f>IF(OR(B129="",G129=""),"",G129-B129)</f>
        <v/>
      </c>
      <c r="I129" s="18" t="n"/>
    </row>
    <row r="130">
      <c r="A130" s="18" t="n"/>
      <c r="B130" s="21" t="n"/>
      <c r="C130" s="18" t="n"/>
      <c r="D130" s="18" t="n"/>
      <c r="E130" s="18" t="n"/>
      <c r="F130" s="18" t="n"/>
      <c r="G130" s="21" t="n"/>
      <c r="H130" s="23">
        <f>IF(OR(B130="",G130=""),"",G130-B130)</f>
        <v/>
      </c>
      <c r="I130" s="18" t="n"/>
    </row>
    <row r="131">
      <c r="A131" s="18" t="n"/>
      <c r="B131" s="21" t="n"/>
      <c r="C131" s="18" t="n"/>
      <c r="D131" s="18" t="n"/>
      <c r="E131" s="18" t="n"/>
      <c r="F131" s="18" t="n"/>
      <c r="G131" s="21" t="n"/>
      <c r="H131" s="23">
        <f>IF(OR(B131="",G131=""),"",G131-B131)</f>
        <v/>
      </c>
      <c r="I131" s="18" t="n"/>
    </row>
    <row r="132">
      <c r="A132" s="18" t="n"/>
      <c r="B132" s="21" t="n"/>
      <c r="C132" s="18" t="n"/>
      <c r="D132" s="18" t="n"/>
      <c r="E132" s="18" t="n"/>
      <c r="F132" s="18" t="n"/>
      <c r="G132" s="21" t="n"/>
      <c r="H132" s="23">
        <f>IF(OR(B132="",G132=""),"",G132-B132)</f>
        <v/>
      </c>
      <c r="I132" s="18" t="n"/>
    </row>
    <row r="133">
      <c r="A133" s="18" t="n"/>
      <c r="B133" s="21" t="n"/>
      <c r="C133" s="18" t="n"/>
      <c r="D133" s="18" t="n"/>
      <c r="E133" s="18" t="n"/>
      <c r="F133" s="18" t="n"/>
      <c r="G133" s="21" t="n"/>
      <c r="H133" s="23">
        <f>IF(OR(B133="",G133=""),"",G133-B133)</f>
        <v/>
      </c>
      <c r="I133" s="18" t="n"/>
    </row>
    <row r="134">
      <c r="A134" s="18" t="n"/>
      <c r="B134" s="21" t="n"/>
      <c r="C134" s="18" t="n"/>
      <c r="D134" s="18" t="n"/>
      <c r="E134" s="18" t="n"/>
      <c r="F134" s="18" t="n"/>
      <c r="G134" s="21" t="n"/>
      <c r="H134" s="23">
        <f>IF(OR(B134="",G134=""),"",G134-B134)</f>
        <v/>
      </c>
      <c r="I134" s="18" t="n"/>
    </row>
    <row r="135">
      <c r="A135" s="18" t="n"/>
      <c r="B135" s="21" t="n"/>
      <c r="C135" s="18" t="n"/>
      <c r="D135" s="18" t="n"/>
      <c r="E135" s="18" t="n"/>
      <c r="F135" s="18" t="n"/>
      <c r="G135" s="21" t="n"/>
      <c r="H135" s="23">
        <f>IF(OR(B135="",G135=""),"",G135-B135)</f>
        <v/>
      </c>
      <c r="I135" s="18" t="n"/>
    </row>
    <row r="136">
      <c r="A136" s="18" t="n"/>
      <c r="B136" s="21" t="n"/>
      <c r="C136" s="18" t="n"/>
      <c r="D136" s="18" t="n"/>
      <c r="E136" s="18" t="n"/>
      <c r="F136" s="18" t="n"/>
      <c r="G136" s="21" t="n"/>
      <c r="H136" s="23">
        <f>IF(OR(B136="",G136=""),"",G136-B136)</f>
        <v/>
      </c>
      <c r="I136" s="18" t="n"/>
    </row>
    <row r="137">
      <c r="A137" s="18" t="n"/>
      <c r="B137" s="21" t="n"/>
      <c r="C137" s="18" t="n"/>
      <c r="D137" s="18" t="n"/>
      <c r="E137" s="18" t="n"/>
      <c r="F137" s="18" t="n"/>
      <c r="G137" s="21" t="n"/>
      <c r="H137" s="23">
        <f>IF(OR(B137="",G137=""),"",G137-B137)</f>
        <v/>
      </c>
      <c r="I137" s="18" t="n"/>
    </row>
    <row r="138">
      <c r="A138" s="18" t="n"/>
      <c r="B138" s="21" t="n"/>
      <c r="C138" s="18" t="n"/>
      <c r="D138" s="18" t="n"/>
      <c r="E138" s="18" t="n"/>
      <c r="F138" s="18" t="n"/>
      <c r="G138" s="21" t="n"/>
      <c r="H138" s="23">
        <f>IF(OR(B138="",G138=""),"",G138-B138)</f>
        <v/>
      </c>
      <c r="I138" s="18" t="n"/>
    </row>
    <row r="139">
      <c r="A139" s="18" t="n"/>
      <c r="B139" s="21" t="n"/>
      <c r="C139" s="18" t="n"/>
      <c r="D139" s="18" t="n"/>
      <c r="E139" s="18" t="n"/>
      <c r="F139" s="18" t="n"/>
      <c r="G139" s="21" t="n"/>
      <c r="H139" s="23">
        <f>IF(OR(B139="",G139=""),"",G139-B139)</f>
        <v/>
      </c>
      <c r="I139" s="18" t="n"/>
    </row>
    <row r="140">
      <c r="A140" s="18" t="n"/>
      <c r="B140" s="21" t="n"/>
      <c r="C140" s="18" t="n"/>
      <c r="D140" s="18" t="n"/>
      <c r="E140" s="18" t="n"/>
      <c r="F140" s="18" t="n"/>
      <c r="G140" s="21" t="n"/>
      <c r="H140" s="23">
        <f>IF(OR(B140="",G140=""),"",G140-B140)</f>
        <v/>
      </c>
      <c r="I140" s="18" t="n"/>
    </row>
    <row r="141">
      <c r="A141" s="18" t="n"/>
      <c r="B141" s="21" t="n"/>
      <c r="C141" s="18" t="n"/>
      <c r="D141" s="18" t="n"/>
      <c r="E141" s="18" t="n"/>
      <c r="F141" s="18" t="n"/>
      <c r="G141" s="21" t="n"/>
      <c r="H141" s="23">
        <f>IF(OR(B141="",G141=""),"",G141-B141)</f>
        <v/>
      </c>
      <c r="I141" s="18" t="n"/>
    </row>
    <row r="142">
      <c r="A142" s="18" t="n"/>
      <c r="B142" s="21" t="n"/>
      <c r="C142" s="18" t="n"/>
      <c r="D142" s="18" t="n"/>
      <c r="E142" s="18" t="n"/>
      <c r="F142" s="18" t="n"/>
      <c r="G142" s="21" t="n"/>
      <c r="H142" s="23">
        <f>IF(OR(B142="",G142=""),"",G142-B142)</f>
        <v/>
      </c>
      <c r="I142" s="18" t="n"/>
    </row>
    <row r="143">
      <c r="A143" s="18" t="n"/>
      <c r="B143" s="21" t="n"/>
      <c r="C143" s="18" t="n"/>
      <c r="D143" s="18" t="n"/>
      <c r="E143" s="18" t="n"/>
      <c r="F143" s="18" t="n"/>
      <c r="G143" s="21" t="n"/>
      <c r="H143" s="23">
        <f>IF(OR(B143="",G143=""),"",G143-B143)</f>
        <v/>
      </c>
      <c r="I143" s="18" t="n"/>
    </row>
    <row r="144">
      <c r="A144" s="18" t="n"/>
      <c r="B144" s="21" t="n"/>
      <c r="C144" s="18" t="n"/>
      <c r="D144" s="18" t="n"/>
      <c r="E144" s="18" t="n"/>
      <c r="F144" s="18" t="n"/>
      <c r="G144" s="21" t="n"/>
      <c r="H144" s="23">
        <f>IF(OR(B144="",G144=""),"",G144-B144)</f>
        <v/>
      </c>
      <c r="I144" s="18" t="n"/>
    </row>
    <row r="145">
      <c r="A145" s="18" t="n"/>
      <c r="B145" s="21" t="n"/>
      <c r="C145" s="18" t="n"/>
      <c r="D145" s="18" t="n"/>
      <c r="E145" s="18" t="n"/>
      <c r="F145" s="18" t="n"/>
      <c r="G145" s="21" t="n"/>
      <c r="H145" s="23">
        <f>IF(OR(B145="",G145=""),"",G145-B145)</f>
        <v/>
      </c>
      <c r="I145" s="18" t="n"/>
    </row>
    <row r="146">
      <c r="A146" s="18" t="n"/>
      <c r="B146" s="21" t="n"/>
      <c r="C146" s="18" t="n"/>
      <c r="D146" s="18" t="n"/>
      <c r="E146" s="18" t="n"/>
      <c r="F146" s="18" t="n"/>
      <c r="G146" s="21" t="n"/>
      <c r="H146" s="23">
        <f>IF(OR(B146="",G146=""),"",G146-B146)</f>
        <v/>
      </c>
      <c r="I146" s="18" t="n"/>
    </row>
    <row r="147">
      <c r="A147" s="18" t="n"/>
      <c r="B147" s="21" t="n"/>
      <c r="C147" s="18" t="n"/>
      <c r="D147" s="18" t="n"/>
      <c r="E147" s="18" t="n"/>
      <c r="F147" s="18" t="n"/>
      <c r="G147" s="21" t="n"/>
      <c r="H147" s="23">
        <f>IF(OR(B147="",G147=""),"",G147-B147)</f>
        <v/>
      </c>
      <c r="I147" s="18" t="n"/>
    </row>
    <row r="148">
      <c r="A148" s="18" t="n"/>
      <c r="B148" s="21" t="n"/>
      <c r="C148" s="18" t="n"/>
      <c r="D148" s="18" t="n"/>
      <c r="E148" s="18" t="n"/>
      <c r="F148" s="18" t="n"/>
      <c r="G148" s="21" t="n"/>
      <c r="H148" s="23">
        <f>IF(OR(B148="",G148=""),"",G148-B148)</f>
        <v/>
      </c>
      <c r="I148" s="18" t="n"/>
    </row>
    <row r="149">
      <c r="A149" s="18" t="n"/>
      <c r="B149" s="21" t="n"/>
      <c r="C149" s="18" t="n"/>
      <c r="D149" s="18" t="n"/>
      <c r="E149" s="18" t="n"/>
      <c r="F149" s="18" t="n"/>
      <c r="G149" s="21" t="n"/>
      <c r="H149" s="23">
        <f>IF(OR(B149="",G149=""),"",G149-B149)</f>
        <v/>
      </c>
      <c r="I149" s="18" t="n"/>
    </row>
    <row r="150">
      <c r="A150" s="18" t="n"/>
      <c r="B150" s="21" t="n"/>
      <c r="C150" s="18" t="n"/>
      <c r="D150" s="18" t="n"/>
      <c r="E150" s="18" t="n"/>
      <c r="F150" s="18" t="n"/>
      <c r="G150" s="21" t="n"/>
      <c r="H150" s="23">
        <f>IF(OR(B150="",G150=""),"",G150-B150)</f>
        <v/>
      </c>
      <c r="I150" s="18" t="n"/>
    </row>
    <row r="151">
      <c r="A151" s="18" t="n"/>
      <c r="B151" s="21" t="n"/>
      <c r="C151" s="18" t="n"/>
      <c r="D151" s="18" t="n"/>
      <c r="E151" s="18" t="n"/>
      <c r="F151" s="18" t="n"/>
      <c r="G151" s="21" t="n"/>
      <c r="H151" s="23">
        <f>IF(OR(B151="",G151=""),"",G151-B151)</f>
        <v/>
      </c>
      <c r="I151" s="18" t="n"/>
    </row>
    <row r="152">
      <c r="A152" s="18" t="n"/>
      <c r="B152" s="21" t="n"/>
      <c r="C152" s="18" t="n"/>
      <c r="D152" s="18" t="n"/>
      <c r="E152" s="18" t="n"/>
      <c r="F152" s="18" t="n"/>
      <c r="G152" s="21" t="n"/>
      <c r="H152" s="23">
        <f>IF(OR(B152="",G152=""),"",G152-B152)</f>
        <v/>
      </c>
      <c r="I152" s="18" t="n"/>
    </row>
    <row r="153">
      <c r="A153" s="18" t="n"/>
      <c r="B153" s="21" t="n"/>
      <c r="C153" s="18" t="n"/>
      <c r="D153" s="18" t="n"/>
      <c r="E153" s="18" t="n"/>
      <c r="F153" s="18" t="n"/>
      <c r="G153" s="21" t="n"/>
      <c r="H153" s="23">
        <f>IF(OR(B153="",G153=""),"",G153-B153)</f>
        <v/>
      </c>
      <c r="I153" s="18" t="n"/>
    </row>
    <row r="154">
      <c r="A154" s="18" t="n"/>
      <c r="B154" s="21" t="n"/>
      <c r="C154" s="18" t="n"/>
      <c r="D154" s="18" t="n"/>
      <c r="E154" s="18" t="n"/>
      <c r="F154" s="18" t="n"/>
      <c r="G154" s="21" t="n"/>
      <c r="H154" s="23">
        <f>IF(OR(B154="",G154=""),"",G154-B154)</f>
        <v/>
      </c>
      <c r="I154" s="18" t="n"/>
    </row>
    <row r="155">
      <c r="A155" s="18" t="n"/>
      <c r="B155" s="21" t="n"/>
      <c r="C155" s="18" t="n"/>
      <c r="D155" s="18" t="n"/>
      <c r="E155" s="18" t="n"/>
      <c r="F155" s="18" t="n"/>
      <c r="G155" s="21" t="n"/>
      <c r="H155" s="23">
        <f>IF(OR(B155="",G155=""),"",G155-B155)</f>
        <v/>
      </c>
      <c r="I155" s="18" t="n"/>
    </row>
    <row r="156">
      <c r="A156" s="18" t="n"/>
      <c r="B156" s="21" t="n"/>
      <c r="C156" s="18" t="n"/>
      <c r="D156" s="18" t="n"/>
      <c r="E156" s="18" t="n"/>
      <c r="F156" s="18" t="n"/>
      <c r="G156" s="21" t="n"/>
      <c r="H156" s="23">
        <f>IF(OR(B156="",G156=""),"",G156-B156)</f>
        <v/>
      </c>
      <c r="I156" s="18" t="n"/>
    </row>
    <row r="157">
      <c r="A157" s="18" t="n"/>
      <c r="B157" s="21" t="n"/>
      <c r="C157" s="18" t="n"/>
      <c r="D157" s="18" t="n"/>
      <c r="E157" s="18" t="n"/>
      <c r="F157" s="18" t="n"/>
      <c r="G157" s="21" t="n"/>
      <c r="H157" s="23">
        <f>IF(OR(B157="",G157=""),"",G157-B157)</f>
        <v/>
      </c>
      <c r="I157" s="18" t="n"/>
    </row>
    <row r="158">
      <c r="A158" s="18" t="n"/>
      <c r="B158" s="21" t="n"/>
      <c r="C158" s="18" t="n"/>
      <c r="D158" s="18" t="n"/>
      <c r="E158" s="18" t="n"/>
      <c r="F158" s="18" t="n"/>
      <c r="G158" s="21" t="n"/>
      <c r="H158" s="23">
        <f>IF(OR(B158="",G158=""),"",G158-B158)</f>
        <v/>
      </c>
      <c r="I158" s="18" t="n"/>
    </row>
    <row r="159">
      <c r="A159" s="18" t="n"/>
      <c r="B159" s="21" t="n"/>
      <c r="C159" s="18" t="n"/>
      <c r="D159" s="18" t="n"/>
      <c r="E159" s="18" t="n"/>
      <c r="F159" s="18" t="n"/>
      <c r="G159" s="21" t="n"/>
      <c r="H159" s="23">
        <f>IF(OR(B159="",G159=""),"",G159-B159)</f>
        <v/>
      </c>
      <c r="I159" s="18" t="n"/>
    </row>
    <row r="160">
      <c r="A160" s="18" t="n"/>
      <c r="B160" s="21" t="n"/>
      <c r="C160" s="18" t="n"/>
      <c r="D160" s="18" t="n"/>
      <c r="E160" s="18" t="n"/>
      <c r="F160" s="18" t="n"/>
      <c r="G160" s="21" t="n"/>
      <c r="H160" s="23">
        <f>IF(OR(B160="",G160=""),"",G160-B160)</f>
        <v/>
      </c>
      <c r="I160" s="18" t="n"/>
    </row>
    <row r="161">
      <c r="A161" s="18" t="n"/>
      <c r="B161" s="21" t="n"/>
      <c r="C161" s="18" t="n"/>
      <c r="D161" s="18" t="n"/>
      <c r="E161" s="18" t="n"/>
      <c r="F161" s="18" t="n"/>
      <c r="G161" s="21" t="n"/>
      <c r="H161" s="23">
        <f>IF(OR(B161="",G161=""),"",G161-B161)</f>
        <v/>
      </c>
      <c r="I161" s="18" t="n"/>
    </row>
    <row r="162">
      <c r="A162" s="18" t="n"/>
      <c r="B162" s="21" t="n"/>
      <c r="C162" s="18" t="n"/>
      <c r="D162" s="18" t="n"/>
      <c r="E162" s="18" t="n"/>
      <c r="F162" s="18" t="n"/>
      <c r="G162" s="21" t="n"/>
      <c r="H162" s="23">
        <f>IF(OR(B162="",G162=""),"",G162-B162)</f>
        <v/>
      </c>
      <c r="I162" s="18" t="n"/>
    </row>
    <row r="163">
      <c r="A163" s="18" t="n"/>
      <c r="B163" s="21" t="n"/>
      <c r="C163" s="18" t="n"/>
      <c r="D163" s="18" t="n"/>
      <c r="E163" s="18" t="n"/>
      <c r="F163" s="18" t="n"/>
      <c r="G163" s="21" t="n"/>
      <c r="H163" s="23">
        <f>IF(OR(B163="",G163=""),"",G163-B163)</f>
        <v/>
      </c>
      <c r="I163" s="18" t="n"/>
    </row>
    <row r="164">
      <c r="A164" s="18" t="n"/>
      <c r="B164" s="21" t="n"/>
      <c r="C164" s="18" t="n"/>
      <c r="D164" s="18" t="n"/>
      <c r="E164" s="18" t="n"/>
      <c r="F164" s="18" t="n"/>
      <c r="G164" s="21" t="n"/>
      <c r="H164" s="23">
        <f>IF(OR(B164="",G164=""),"",G164-B164)</f>
        <v/>
      </c>
      <c r="I164" s="18" t="n"/>
    </row>
    <row r="165">
      <c r="A165" s="18" t="n"/>
      <c r="B165" s="21" t="n"/>
      <c r="C165" s="18" t="n"/>
      <c r="D165" s="18" t="n"/>
      <c r="E165" s="18" t="n"/>
      <c r="F165" s="18" t="n"/>
      <c r="G165" s="21" t="n"/>
      <c r="H165" s="23">
        <f>IF(OR(B165="",G165=""),"",G165-B165)</f>
        <v/>
      </c>
      <c r="I165" s="18" t="n"/>
    </row>
    <row r="166">
      <c r="A166" s="18" t="n"/>
      <c r="B166" s="21" t="n"/>
      <c r="C166" s="18" t="n"/>
      <c r="D166" s="18" t="n"/>
      <c r="E166" s="18" t="n"/>
      <c r="F166" s="18" t="n"/>
      <c r="G166" s="21" t="n"/>
      <c r="H166" s="23">
        <f>IF(OR(B166="",G166=""),"",G166-B166)</f>
        <v/>
      </c>
      <c r="I166" s="18" t="n"/>
    </row>
    <row r="167">
      <c r="A167" s="18" t="n"/>
      <c r="B167" s="21" t="n"/>
      <c r="C167" s="18" t="n"/>
      <c r="D167" s="18" t="n"/>
      <c r="E167" s="18" t="n"/>
      <c r="F167" s="18" t="n"/>
      <c r="G167" s="21" t="n"/>
      <c r="H167" s="23">
        <f>IF(OR(B167="",G167=""),"",G167-B167)</f>
        <v/>
      </c>
      <c r="I167" s="18" t="n"/>
    </row>
    <row r="168">
      <c r="A168" s="18" t="n"/>
      <c r="B168" s="21" t="n"/>
      <c r="C168" s="18" t="n"/>
      <c r="D168" s="18" t="n"/>
      <c r="E168" s="18" t="n"/>
      <c r="F168" s="18" t="n"/>
      <c r="G168" s="21" t="n"/>
      <c r="H168" s="23">
        <f>IF(OR(B168="",G168=""),"",G168-B168)</f>
        <v/>
      </c>
      <c r="I168" s="18" t="n"/>
    </row>
    <row r="169">
      <c r="A169" s="18" t="n"/>
      <c r="B169" s="21" t="n"/>
      <c r="C169" s="18" t="n"/>
      <c r="D169" s="18" t="n"/>
      <c r="E169" s="18" t="n"/>
      <c r="F169" s="18" t="n"/>
      <c r="G169" s="21" t="n"/>
      <c r="H169" s="23">
        <f>IF(OR(B169="",G169=""),"",G169-B169)</f>
        <v/>
      </c>
      <c r="I169" s="18" t="n"/>
    </row>
    <row r="170">
      <c r="A170" s="18" t="n"/>
      <c r="B170" s="21" t="n"/>
      <c r="C170" s="18" t="n"/>
      <c r="D170" s="18" t="n"/>
      <c r="E170" s="18" t="n"/>
      <c r="F170" s="18" t="n"/>
      <c r="G170" s="21" t="n"/>
      <c r="H170" s="23">
        <f>IF(OR(B170="",G170=""),"",G170-B170)</f>
        <v/>
      </c>
      <c r="I170" s="18" t="n"/>
    </row>
    <row r="171">
      <c r="A171" s="18" t="n"/>
      <c r="B171" s="21" t="n"/>
      <c r="C171" s="18" t="n"/>
      <c r="D171" s="18" t="n"/>
      <c r="E171" s="18" t="n"/>
      <c r="F171" s="18" t="n"/>
      <c r="G171" s="21" t="n"/>
      <c r="H171" s="23">
        <f>IF(OR(B171="",G171=""),"",G171-B171)</f>
        <v/>
      </c>
      <c r="I171" s="18" t="n"/>
    </row>
    <row r="172">
      <c r="A172" s="18" t="n"/>
      <c r="B172" s="21" t="n"/>
      <c r="C172" s="18" t="n"/>
      <c r="D172" s="18" t="n"/>
      <c r="E172" s="18" t="n"/>
      <c r="F172" s="18" t="n"/>
      <c r="G172" s="21" t="n"/>
      <c r="H172" s="23">
        <f>IF(OR(B172="",G172=""),"",G172-B172)</f>
        <v/>
      </c>
      <c r="I172" s="18" t="n"/>
    </row>
    <row r="173">
      <c r="A173" s="18" t="n"/>
      <c r="B173" s="21" t="n"/>
      <c r="C173" s="18" t="n"/>
      <c r="D173" s="18" t="n"/>
      <c r="E173" s="18" t="n"/>
      <c r="F173" s="18" t="n"/>
      <c r="G173" s="21" t="n"/>
      <c r="H173" s="23">
        <f>IF(OR(B173="",G173=""),"",G173-B173)</f>
        <v/>
      </c>
      <c r="I173" s="18" t="n"/>
    </row>
    <row r="174">
      <c r="A174" s="18" t="n"/>
      <c r="B174" s="21" t="n"/>
      <c r="C174" s="18" t="n"/>
      <c r="D174" s="18" t="n"/>
      <c r="E174" s="18" t="n"/>
      <c r="F174" s="18" t="n"/>
      <c r="G174" s="21" t="n"/>
      <c r="H174" s="23">
        <f>IF(OR(B174="",G174=""),"",G174-B174)</f>
        <v/>
      </c>
      <c r="I174" s="18" t="n"/>
    </row>
    <row r="175">
      <c r="A175" s="18" t="n"/>
      <c r="B175" s="21" t="n"/>
      <c r="C175" s="18" t="n"/>
      <c r="D175" s="18" t="n"/>
      <c r="E175" s="18" t="n"/>
      <c r="F175" s="18" t="n"/>
      <c r="G175" s="21" t="n"/>
      <c r="H175" s="23">
        <f>IF(OR(B175="",G175=""),"",G175-B175)</f>
        <v/>
      </c>
      <c r="I175" s="18" t="n"/>
    </row>
    <row r="176">
      <c r="A176" s="18" t="n"/>
      <c r="B176" s="21" t="n"/>
      <c r="C176" s="18" t="n"/>
      <c r="D176" s="18" t="n"/>
      <c r="E176" s="18" t="n"/>
      <c r="F176" s="18" t="n"/>
      <c r="G176" s="21" t="n"/>
      <c r="H176" s="23">
        <f>IF(OR(B176="",G176=""),"",G176-B176)</f>
        <v/>
      </c>
      <c r="I176" s="18" t="n"/>
    </row>
    <row r="177">
      <c r="A177" s="18" t="n"/>
      <c r="B177" s="21" t="n"/>
      <c r="C177" s="18" t="n"/>
      <c r="D177" s="18" t="n"/>
      <c r="E177" s="18" t="n"/>
      <c r="F177" s="18" t="n"/>
      <c r="G177" s="21" t="n"/>
      <c r="H177" s="23">
        <f>IF(OR(B177="",G177=""),"",G177-B177)</f>
        <v/>
      </c>
      <c r="I177" s="18" t="n"/>
    </row>
    <row r="178">
      <c r="A178" s="18" t="n"/>
      <c r="B178" s="21" t="n"/>
      <c r="C178" s="18" t="n"/>
      <c r="D178" s="18" t="n"/>
      <c r="E178" s="18" t="n"/>
      <c r="F178" s="18" t="n"/>
      <c r="G178" s="21" t="n"/>
      <c r="H178" s="23">
        <f>IF(OR(B178="",G178=""),"",G178-B178)</f>
        <v/>
      </c>
      <c r="I178" s="18" t="n"/>
    </row>
    <row r="179">
      <c r="A179" s="18" t="n"/>
      <c r="B179" s="21" t="n"/>
      <c r="C179" s="18" t="n"/>
      <c r="D179" s="18" t="n"/>
      <c r="E179" s="18" t="n"/>
      <c r="F179" s="18" t="n"/>
      <c r="G179" s="21" t="n"/>
      <c r="H179" s="23">
        <f>IF(OR(B179="",G179=""),"",G179-B179)</f>
        <v/>
      </c>
      <c r="I179" s="18" t="n"/>
    </row>
    <row r="180">
      <c r="A180" s="18" t="n"/>
      <c r="B180" s="21" t="n"/>
      <c r="C180" s="18" t="n"/>
      <c r="D180" s="18" t="n"/>
      <c r="E180" s="18" t="n"/>
      <c r="F180" s="18" t="n"/>
      <c r="G180" s="21" t="n"/>
      <c r="H180" s="23">
        <f>IF(OR(B180="",G180=""),"",G180-B180)</f>
        <v/>
      </c>
      <c r="I180" s="18" t="n"/>
    </row>
    <row r="181">
      <c r="A181" s="18" t="n"/>
      <c r="B181" s="21" t="n"/>
      <c r="C181" s="18" t="n"/>
      <c r="D181" s="18" t="n"/>
      <c r="E181" s="18" t="n"/>
      <c r="F181" s="18" t="n"/>
      <c r="G181" s="21" t="n"/>
      <c r="H181" s="23">
        <f>IF(OR(B181="",G181=""),"",G181-B181)</f>
        <v/>
      </c>
      <c r="I181" s="18" t="n"/>
    </row>
    <row r="182">
      <c r="A182" s="18" t="n"/>
      <c r="B182" s="21" t="n"/>
      <c r="C182" s="18" t="n"/>
      <c r="D182" s="18" t="n"/>
      <c r="E182" s="18" t="n"/>
      <c r="F182" s="18" t="n"/>
      <c r="G182" s="21" t="n"/>
      <c r="H182" s="23">
        <f>IF(OR(B182="",G182=""),"",G182-B182)</f>
        <v/>
      </c>
      <c r="I182" s="18" t="n"/>
    </row>
    <row r="183">
      <c r="A183" s="18" t="n"/>
      <c r="B183" s="21" t="n"/>
      <c r="C183" s="18" t="n"/>
      <c r="D183" s="18" t="n"/>
      <c r="E183" s="18" t="n"/>
      <c r="F183" s="18" t="n"/>
      <c r="G183" s="21" t="n"/>
      <c r="H183" s="23">
        <f>IF(OR(B183="",G183=""),"",G183-B183)</f>
        <v/>
      </c>
      <c r="I183" s="18" t="n"/>
    </row>
    <row r="184">
      <c r="A184" s="18" t="n"/>
      <c r="B184" s="21" t="n"/>
      <c r="C184" s="18" t="n"/>
      <c r="D184" s="18" t="n"/>
      <c r="E184" s="18" t="n"/>
      <c r="F184" s="18" t="n"/>
      <c r="G184" s="21" t="n"/>
      <c r="H184" s="23">
        <f>IF(OR(B184="",G184=""),"",G184-B184)</f>
        <v/>
      </c>
      <c r="I184" s="18" t="n"/>
    </row>
    <row r="185">
      <c r="A185" s="18" t="n"/>
      <c r="B185" s="21" t="n"/>
      <c r="C185" s="18" t="n"/>
      <c r="D185" s="18" t="n"/>
      <c r="E185" s="18" t="n"/>
      <c r="F185" s="18" t="n"/>
      <c r="G185" s="21" t="n"/>
      <c r="H185" s="23">
        <f>IF(OR(B185="",G185=""),"",G185-B185)</f>
        <v/>
      </c>
      <c r="I185" s="18" t="n"/>
    </row>
    <row r="186">
      <c r="A186" s="18" t="n"/>
      <c r="B186" s="21" t="n"/>
      <c r="C186" s="18" t="n"/>
      <c r="D186" s="18" t="n"/>
      <c r="E186" s="18" t="n"/>
      <c r="F186" s="18" t="n"/>
      <c r="G186" s="21" t="n"/>
      <c r="H186" s="23">
        <f>IF(OR(B186="",G186=""),"",G186-B186)</f>
        <v/>
      </c>
      <c r="I186" s="18" t="n"/>
    </row>
    <row r="187">
      <c r="A187" s="18" t="n"/>
      <c r="B187" s="21" t="n"/>
      <c r="C187" s="18" t="n"/>
      <c r="D187" s="18" t="n"/>
      <c r="E187" s="18" t="n"/>
      <c r="F187" s="18" t="n"/>
      <c r="G187" s="21" t="n"/>
      <c r="H187" s="23">
        <f>IF(OR(B187="",G187=""),"",G187-B187)</f>
        <v/>
      </c>
      <c r="I187" s="18" t="n"/>
    </row>
    <row r="188">
      <c r="A188" s="18" t="n"/>
      <c r="B188" s="21" t="n"/>
      <c r="C188" s="18" t="n"/>
      <c r="D188" s="18" t="n"/>
      <c r="E188" s="18" t="n"/>
      <c r="F188" s="18" t="n"/>
      <c r="G188" s="21" t="n"/>
      <c r="H188" s="23">
        <f>IF(OR(B188="",G188=""),"",G188-B188)</f>
        <v/>
      </c>
      <c r="I188" s="18" t="n"/>
    </row>
    <row r="189">
      <c r="A189" s="18" t="n"/>
      <c r="B189" s="21" t="n"/>
      <c r="C189" s="18" t="n"/>
      <c r="D189" s="18" t="n"/>
      <c r="E189" s="18" t="n"/>
      <c r="F189" s="18" t="n"/>
      <c r="G189" s="21" t="n"/>
      <c r="H189" s="23">
        <f>IF(OR(B189="",G189=""),"",G189-B189)</f>
        <v/>
      </c>
      <c r="I189" s="18" t="n"/>
    </row>
    <row r="190">
      <c r="A190" s="18" t="n"/>
      <c r="B190" s="21" t="n"/>
      <c r="C190" s="18" t="n"/>
      <c r="D190" s="18" t="n"/>
      <c r="E190" s="18" t="n"/>
      <c r="F190" s="18" t="n"/>
      <c r="G190" s="21" t="n"/>
      <c r="H190" s="23">
        <f>IF(OR(B190="",G190=""),"",G190-B190)</f>
        <v/>
      </c>
      <c r="I190" s="18" t="n"/>
    </row>
    <row r="191">
      <c r="A191" s="18" t="n"/>
      <c r="B191" s="21" t="n"/>
      <c r="C191" s="18" t="n"/>
      <c r="D191" s="18" t="n"/>
      <c r="E191" s="18" t="n"/>
      <c r="F191" s="18" t="n"/>
      <c r="G191" s="21" t="n"/>
      <c r="H191" s="23">
        <f>IF(OR(B191="",G191=""),"",G191-B191)</f>
        <v/>
      </c>
      <c r="I191" s="18" t="n"/>
    </row>
    <row r="192">
      <c r="A192" s="18" t="n"/>
      <c r="B192" s="21" t="n"/>
      <c r="C192" s="18" t="n"/>
      <c r="D192" s="18" t="n"/>
      <c r="E192" s="18" t="n"/>
      <c r="F192" s="18" t="n"/>
      <c r="G192" s="21" t="n"/>
      <c r="H192" s="23">
        <f>IF(OR(B192="",G192=""),"",G192-B192)</f>
        <v/>
      </c>
      <c r="I192" s="18" t="n"/>
    </row>
    <row r="193">
      <c r="A193" s="18" t="n"/>
      <c r="B193" s="21" t="n"/>
      <c r="C193" s="18" t="n"/>
      <c r="D193" s="18" t="n"/>
      <c r="E193" s="18" t="n"/>
      <c r="F193" s="18" t="n"/>
      <c r="G193" s="21" t="n"/>
      <c r="H193" s="23">
        <f>IF(OR(B193="",G193=""),"",G193-B193)</f>
        <v/>
      </c>
      <c r="I193" s="18" t="n"/>
    </row>
    <row r="194">
      <c r="A194" s="18" t="n"/>
      <c r="B194" s="21" t="n"/>
      <c r="C194" s="18" t="n"/>
      <c r="D194" s="18" t="n"/>
      <c r="E194" s="18" t="n"/>
      <c r="F194" s="18" t="n"/>
      <c r="G194" s="21" t="n"/>
      <c r="H194" s="23">
        <f>IF(OR(B194="",G194=""),"",G194-B194)</f>
        <v/>
      </c>
      <c r="I194" s="18" t="n"/>
    </row>
    <row r="195">
      <c r="A195" s="18" t="n"/>
      <c r="B195" s="21" t="n"/>
      <c r="C195" s="18" t="n"/>
      <c r="D195" s="18" t="n"/>
      <c r="E195" s="18" t="n"/>
      <c r="F195" s="18" t="n"/>
      <c r="G195" s="21" t="n"/>
      <c r="H195" s="23">
        <f>IF(OR(B195="",G195=""),"",G195-B195)</f>
        <v/>
      </c>
      <c r="I195" s="18" t="n"/>
    </row>
    <row r="196">
      <c r="A196" s="18" t="n"/>
      <c r="B196" s="21" t="n"/>
      <c r="C196" s="18" t="n"/>
      <c r="D196" s="18" t="n"/>
      <c r="E196" s="18" t="n"/>
      <c r="F196" s="18" t="n"/>
      <c r="G196" s="21" t="n"/>
      <c r="H196" s="23">
        <f>IF(OR(B196="",G196=""),"",G196-B196)</f>
        <v/>
      </c>
      <c r="I196" s="18" t="n"/>
    </row>
    <row r="197">
      <c r="A197" s="18" t="n"/>
      <c r="B197" s="21" t="n"/>
      <c r="C197" s="18" t="n"/>
      <c r="D197" s="18" t="n"/>
      <c r="E197" s="18" t="n"/>
      <c r="F197" s="18" t="n"/>
      <c r="G197" s="21" t="n"/>
      <c r="H197" s="23">
        <f>IF(OR(B197="",G197=""),"",G197-B197)</f>
        <v/>
      </c>
      <c r="I197" s="18" t="n"/>
    </row>
    <row r="198">
      <c r="A198" s="18" t="n"/>
      <c r="B198" s="21" t="n"/>
      <c r="C198" s="18" t="n"/>
      <c r="D198" s="18" t="n"/>
      <c r="E198" s="18" t="n"/>
      <c r="F198" s="18" t="n"/>
      <c r="G198" s="21" t="n"/>
      <c r="H198" s="23">
        <f>IF(OR(B198="",G198=""),"",G198-B198)</f>
        <v/>
      </c>
      <c r="I198" s="18" t="n"/>
    </row>
    <row r="199">
      <c r="A199" s="18" t="n"/>
      <c r="B199" s="21" t="n"/>
      <c r="C199" s="18" t="n"/>
      <c r="D199" s="18" t="n"/>
      <c r="E199" s="18" t="n"/>
      <c r="F199" s="18" t="n"/>
      <c r="G199" s="21" t="n"/>
      <c r="H199" s="23">
        <f>IF(OR(B199="",G199=""),"",G199-B199)</f>
        <v/>
      </c>
      <c r="I199" s="18" t="n"/>
    </row>
    <row r="200">
      <c r="A200" s="18" t="n"/>
      <c r="B200" s="21" t="n"/>
      <c r="C200" s="18" t="n"/>
      <c r="D200" s="18" t="n"/>
      <c r="E200" s="18" t="n"/>
      <c r="F200" s="18" t="n"/>
      <c r="G200" s="21" t="n"/>
      <c r="H200" s="23">
        <f>IF(OR(B200="",G200=""),"",G200-B200)</f>
        <v/>
      </c>
      <c r="I200" s="18" t="n"/>
    </row>
    <row r="201">
      <c r="A201" s="18" t="n"/>
      <c r="B201" s="21" t="n"/>
      <c r="C201" s="18" t="n"/>
      <c r="D201" s="18" t="n"/>
      <c r="E201" s="18" t="n"/>
      <c r="F201" s="18" t="n"/>
      <c r="G201" s="21" t="n"/>
      <c r="H201" s="23">
        <f>IF(OR(B201="",G201=""),"",G201-B201)</f>
        <v/>
      </c>
      <c r="I201" s="18" t="n"/>
    </row>
    <row r="202">
      <c r="A202" s="18" t="n"/>
      <c r="B202" s="21" t="n"/>
      <c r="C202" s="18" t="n"/>
      <c r="D202" s="18" t="n"/>
      <c r="E202" s="18" t="n"/>
      <c r="F202" s="18" t="n"/>
      <c r="G202" s="21" t="n"/>
      <c r="H202" s="23">
        <f>IF(OR(B202="",G202=""),"",G202-B202)</f>
        <v/>
      </c>
      <c r="I202" s="18" t="n"/>
    </row>
    <row r="203">
      <c r="A203" s="18" t="n"/>
      <c r="B203" s="21" t="n"/>
      <c r="C203" s="18" t="n"/>
      <c r="D203" s="18" t="n"/>
      <c r="E203" s="18" t="n"/>
      <c r="F203" s="18" t="n"/>
      <c r="G203" s="21" t="n"/>
      <c r="H203" s="23">
        <f>IF(OR(B203="",G203=""),"",G203-B203)</f>
        <v/>
      </c>
      <c r="I203" s="18" t="n"/>
    </row>
    <row r="204">
      <c r="A204" s="18" t="n"/>
      <c r="B204" s="21" t="n"/>
      <c r="C204" s="18" t="n"/>
      <c r="D204" s="18" t="n"/>
      <c r="E204" s="18" t="n"/>
      <c r="F204" s="18" t="n"/>
      <c r="G204" s="21" t="n"/>
      <c r="H204" s="23">
        <f>IF(OR(B204="",G204=""),"",G204-B204)</f>
        <v/>
      </c>
      <c r="I204" s="18" t="n"/>
    </row>
    <row r="205">
      <c r="A205" s="18" t="n"/>
      <c r="B205" s="21" t="n"/>
      <c r="C205" s="18" t="n"/>
      <c r="D205" s="18" t="n"/>
      <c r="E205" s="18" t="n"/>
      <c r="F205" s="18" t="n"/>
      <c r="G205" s="21" t="n"/>
      <c r="H205" s="23">
        <f>IF(OR(B205="",G205=""),"",G205-B205)</f>
        <v/>
      </c>
      <c r="I205" s="18" t="n"/>
    </row>
    <row r="206">
      <c r="A206" s="18" t="n"/>
      <c r="B206" s="21" t="n"/>
      <c r="C206" s="18" t="n"/>
      <c r="D206" s="18" t="n"/>
      <c r="E206" s="18" t="n"/>
      <c r="F206" s="18" t="n"/>
      <c r="G206" s="21" t="n"/>
      <c r="H206" s="23">
        <f>IF(OR(B206="",G206=""),"",G206-B206)</f>
        <v/>
      </c>
      <c r="I206" s="18" t="n"/>
    </row>
    <row r="207">
      <c r="A207" s="18" t="n"/>
      <c r="B207" s="21" t="n"/>
      <c r="C207" s="18" t="n"/>
      <c r="D207" s="18" t="n"/>
      <c r="E207" s="18" t="n"/>
      <c r="F207" s="18" t="n"/>
      <c r="G207" s="21" t="n"/>
      <c r="H207" s="23">
        <f>IF(OR(B207="",G207=""),"",G207-B207)</f>
        <v/>
      </c>
      <c r="I207" s="18" t="n"/>
    </row>
    <row r="208">
      <c r="A208" s="18" t="n"/>
      <c r="B208" s="21" t="n"/>
      <c r="C208" s="18" t="n"/>
      <c r="D208" s="18" t="n"/>
      <c r="E208" s="18" t="n"/>
      <c r="F208" s="18" t="n"/>
      <c r="G208" s="21" t="n"/>
      <c r="H208" s="23">
        <f>IF(OR(B208="",G208=""),"",G208-B208)</f>
        <v/>
      </c>
      <c r="I208" s="18" t="n"/>
    </row>
    <row r="209">
      <c r="A209" s="18" t="n"/>
      <c r="B209" s="21" t="n"/>
      <c r="C209" s="18" t="n"/>
      <c r="D209" s="18" t="n"/>
      <c r="E209" s="18" t="n"/>
      <c r="F209" s="18" t="n"/>
      <c r="G209" s="21" t="n"/>
      <c r="H209" s="23">
        <f>IF(OR(B209="",G209=""),"",G209-B209)</f>
        <v/>
      </c>
      <c r="I209" s="18" t="n"/>
    </row>
    <row r="210">
      <c r="A210" s="18" t="n"/>
      <c r="B210" s="21" t="n"/>
      <c r="C210" s="18" t="n"/>
      <c r="D210" s="18" t="n"/>
      <c r="E210" s="18" t="n"/>
      <c r="F210" s="18" t="n"/>
      <c r="G210" s="21" t="n"/>
      <c r="H210" s="23">
        <f>IF(OR(B210="",G210=""),"",G210-B210)</f>
        <v/>
      </c>
      <c r="I210" s="18" t="n"/>
    </row>
    <row r="211">
      <c r="A211" s="18" t="n"/>
      <c r="B211" s="21" t="n"/>
      <c r="C211" s="18" t="n"/>
      <c r="D211" s="18" t="n"/>
      <c r="E211" s="18" t="n"/>
      <c r="F211" s="18" t="n"/>
      <c r="G211" s="21" t="n"/>
      <c r="H211" s="23">
        <f>IF(OR(B211="",G211=""),"",G211-B211)</f>
        <v/>
      </c>
      <c r="I211" s="18" t="n"/>
    </row>
    <row r="212">
      <c r="A212" s="18" t="n"/>
      <c r="B212" s="21" t="n"/>
      <c r="C212" s="18" t="n"/>
      <c r="D212" s="18" t="n"/>
      <c r="E212" s="18" t="n"/>
      <c r="F212" s="18" t="n"/>
      <c r="G212" s="21" t="n"/>
      <c r="H212" s="23">
        <f>IF(OR(B212="",G212=""),"",G212-B212)</f>
        <v/>
      </c>
      <c r="I212" s="18" t="n"/>
    </row>
    <row r="213">
      <c r="A213" s="18" t="n"/>
      <c r="B213" s="21" t="n"/>
      <c r="C213" s="18" t="n"/>
      <c r="D213" s="18" t="n"/>
      <c r="E213" s="18" t="n"/>
      <c r="F213" s="18" t="n"/>
      <c r="G213" s="21" t="n"/>
      <c r="H213" s="23">
        <f>IF(OR(B213="",G213=""),"",G213-B213)</f>
        <v/>
      </c>
      <c r="I213" s="18" t="n"/>
    </row>
    <row r="214">
      <c r="A214" s="18" t="n"/>
      <c r="B214" s="21" t="n"/>
      <c r="C214" s="18" t="n"/>
      <c r="D214" s="18" t="n"/>
      <c r="E214" s="18" t="n"/>
      <c r="F214" s="18" t="n"/>
      <c r="G214" s="21" t="n"/>
      <c r="H214" s="23">
        <f>IF(OR(B214="",G214=""),"",G214-B214)</f>
        <v/>
      </c>
      <c r="I214" s="18" t="n"/>
    </row>
    <row r="215">
      <c r="A215" s="18" t="n"/>
      <c r="B215" s="21" t="n"/>
      <c r="C215" s="18" t="n"/>
      <c r="D215" s="18" t="n"/>
      <c r="E215" s="18" t="n"/>
      <c r="F215" s="18" t="n"/>
      <c r="G215" s="21" t="n"/>
      <c r="H215" s="23">
        <f>IF(OR(B215="",G215=""),"",G215-B215)</f>
        <v/>
      </c>
      <c r="I215" s="18" t="n"/>
    </row>
    <row r="216">
      <c r="A216" s="18" t="n"/>
      <c r="B216" s="21" t="n"/>
      <c r="C216" s="18" t="n"/>
      <c r="D216" s="18" t="n"/>
      <c r="E216" s="18" t="n"/>
      <c r="F216" s="18" t="n"/>
      <c r="G216" s="21" t="n"/>
      <c r="H216" s="23">
        <f>IF(OR(B216="",G216=""),"",G216-B216)</f>
        <v/>
      </c>
      <c r="I216" s="18" t="n"/>
    </row>
    <row r="217">
      <c r="A217" s="18" t="n"/>
      <c r="B217" s="21" t="n"/>
      <c r="C217" s="18" t="n"/>
      <c r="D217" s="18" t="n"/>
      <c r="E217" s="18" t="n"/>
      <c r="F217" s="18" t="n"/>
      <c r="G217" s="21" t="n"/>
      <c r="H217" s="23">
        <f>IF(OR(B217="",G217=""),"",G217-B217)</f>
        <v/>
      </c>
      <c r="I217" s="18" t="n"/>
    </row>
    <row r="218">
      <c r="A218" s="18" t="n"/>
      <c r="B218" s="21" t="n"/>
      <c r="C218" s="18" t="n"/>
      <c r="D218" s="18" t="n"/>
      <c r="E218" s="18" t="n"/>
      <c r="F218" s="18" t="n"/>
      <c r="G218" s="21" t="n"/>
      <c r="H218" s="23">
        <f>IF(OR(B218="",G218=""),"",G218-B218)</f>
        <v/>
      </c>
      <c r="I218" s="18" t="n"/>
    </row>
    <row r="219">
      <c r="A219" s="18" t="n"/>
      <c r="B219" s="21" t="n"/>
      <c r="C219" s="18" t="n"/>
      <c r="D219" s="18" t="n"/>
      <c r="E219" s="18" t="n"/>
      <c r="F219" s="18" t="n"/>
      <c r="G219" s="21" t="n"/>
      <c r="H219" s="23">
        <f>IF(OR(B219="",G219=""),"",G219-B219)</f>
        <v/>
      </c>
      <c r="I219" s="18" t="n"/>
    </row>
    <row r="220">
      <c r="A220" s="18" t="n"/>
      <c r="B220" s="21" t="n"/>
      <c r="C220" s="18" t="n"/>
      <c r="D220" s="18" t="n"/>
      <c r="E220" s="18" t="n"/>
      <c r="F220" s="18" t="n"/>
      <c r="G220" s="21" t="n"/>
      <c r="H220" s="23">
        <f>IF(OR(B220="",G220=""),"",G220-B220)</f>
        <v/>
      </c>
      <c r="I220" s="18" t="n"/>
    </row>
    <row r="221">
      <c r="A221" s="18" t="n"/>
      <c r="B221" s="21" t="n"/>
      <c r="C221" s="18" t="n"/>
      <c r="D221" s="18" t="n"/>
      <c r="E221" s="18" t="n"/>
      <c r="F221" s="18" t="n"/>
      <c r="G221" s="21" t="n"/>
      <c r="H221" s="23">
        <f>IF(OR(B221="",G221=""),"",G221-B221)</f>
        <v/>
      </c>
      <c r="I221" s="18" t="n"/>
    </row>
    <row r="222">
      <c r="A222" s="18" t="n"/>
      <c r="B222" s="21" t="n"/>
      <c r="C222" s="18" t="n"/>
      <c r="D222" s="18" t="n"/>
      <c r="E222" s="18" t="n"/>
      <c r="F222" s="18" t="n"/>
      <c r="G222" s="21" t="n"/>
      <c r="H222" s="23">
        <f>IF(OR(B222="",G222=""),"",G222-B222)</f>
        <v/>
      </c>
      <c r="I222" s="18" t="n"/>
    </row>
    <row r="223">
      <c r="A223" s="18" t="n"/>
      <c r="B223" s="21" t="n"/>
      <c r="C223" s="18" t="n"/>
      <c r="D223" s="18" t="n"/>
      <c r="E223" s="18" t="n"/>
      <c r="F223" s="18" t="n"/>
      <c r="G223" s="21" t="n"/>
      <c r="H223" s="23">
        <f>IF(OR(B223="",G223=""),"",G223-B223)</f>
        <v/>
      </c>
      <c r="I223" s="18" t="n"/>
    </row>
    <row r="224">
      <c r="A224" s="18" t="n"/>
      <c r="B224" s="21" t="n"/>
      <c r="C224" s="18" t="n"/>
      <c r="D224" s="18" t="n"/>
      <c r="E224" s="18" t="n"/>
      <c r="F224" s="18" t="n"/>
      <c r="G224" s="21" t="n"/>
      <c r="H224" s="23">
        <f>IF(OR(B224="",G224=""),"",G224-B224)</f>
        <v/>
      </c>
      <c r="I224" s="18" t="n"/>
    </row>
    <row r="225">
      <c r="A225" s="18" t="n"/>
      <c r="B225" s="21" t="n"/>
      <c r="C225" s="18" t="n"/>
      <c r="D225" s="18" t="n"/>
      <c r="E225" s="18" t="n"/>
      <c r="F225" s="18" t="n"/>
      <c r="G225" s="21" t="n"/>
      <c r="H225" s="23">
        <f>IF(OR(B225="",G225=""),"",G225-B225)</f>
        <v/>
      </c>
      <c r="I225" s="18" t="n"/>
    </row>
    <row r="226">
      <c r="A226" s="18" t="n"/>
      <c r="B226" s="21" t="n"/>
      <c r="C226" s="18" t="n"/>
      <c r="D226" s="18" t="n"/>
      <c r="E226" s="18" t="n"/>
      <c r="F226" s="18" t="n"/>
      <c r="G226" s="21" t="n"/>
      <c r="H226" s="23">
        <f>IF(OR(B226="",G226=""),"",G226-B226)</f>
        <v/>
      </c>
      <c r="I226" s="18" t="n"/>
    </row>
    <row r="227">
      <c r="A227" s="18" t="n"/>
      <c r="B227" s="21" t="n"/>
      <c r="C227" s="18" t="n"/>
      <c r="D227" s="18" t="n"/>
      <c r="E227" s="18" t="n"/>
      <c r="F227" s="18" t="n"/>
      <c r="G227" s="21" t="n"/>
      <c r="H227" s="23">
        <f>IF(OR(B227="",G227=""),"",G227-B227)</f>
        <v/>
      </c>
      <c r="I227" s="18" t="n"/>
    </row>
    <row r="228">
      <c r="A228" s="18" t="n"/>
      <c r="B228" s="21" t="n"/>
      <c r="C228" s="18" t="n"/>
      <c r="D228" s="18" t="n"/>
      <c r="E228" s="18" t="n"/>
      <c r="F228" s="18" t="n"/>
      <c r="G228" s="21" t="n"/>
      <c r="H228" s="23">
        <f>IF(OR(B228="",G228=""),"",G228-B228)</f>
        <v/>
      </c>
      <c r="I228" s="18" t="n"/>
    </row>
    <row r="229">
      <c r="A229" s="18" t="n"/>
      <c r="B229" s="21" t="n"/>
      <c r="C229" s="18" t="n"/>
      <c r="D229" s="18" t="n"/>
      <c r="E229" s="18" t="n"/>
      <c r="F229" s="18" t="n"/>
      <c r="G229" s="21" t="n"/>
      <c r="H229" s="23">
        <f>IF(OR(B229="",G229=""),"",G229-B229)</f>
        <v/>
      </c>
      <c r="I229" s="18" t="n"/>
    </row>
    <row r="230">
      <c r="A230" s="18" t="n"/>
      <c r="B230" s="21" t="n"/>
      <c r="C230" s="18" t="n"/>
      <c r="D230" s="18" t="n"/>
      <c r="E230" s="18" t="n"/>
      <c r="F230" s="18" t="n"/>
      <c r="G230" s="21" t="n"/>
      <c r="H230" s="23">
        <f>IF(OR(B230="",G230=""),"",G230-B230)</f>
        <v/>
      </c>
      <c r="I230" s="18" t="n"/>
    </row>
    <row r="231">
      <c r="A231" s="18" t="n"/>
      <c r="B231" s="21" t="n"/>
      <c r="C231" s="18" t="n"/>
      <c r="D231" s="18" t="n"/>
      <c r="E231" s="18" t="n"/>
      <c r="F231" s="18" t="n"/>
      <c r="G231" s="21" t="n"/>
      <c r="H231" s="23">
        <f>IF(OR(B231="",G231=""),"",G231-B231)</f>
        <v/>
      </c>
      <c r="I231" s="18" t="n"/>
    </row>
    <row r="232">
      <c r="A232" s="18" t="n"/>
      <c r="B232" s="21" t="n"/>
      <c r="C232" s="18" t="n"/>
      <c r="D232" s="18" t="n"/>
      <c r="E232" s="18" t="n"/>
      <c r="F232" s="18" t="n"/>
      <c r="G232" s="21" t="n"/>
      <c r="H232" s="23">
        <f>IF(OR(B232="",G232=""),"",G232-B232)</f>
        <v/>
      </c>
      <c r="I232" s="18" t="n"/>
    </row>
    <row r="233">
      <c r="A233" s="18" t="n"/>
      <c r="B233" s="21" t="n"/>
      <c r="C233" s="18" t="n"/>
      <c r="D233" s="18" t="n"/>
      <c r="E233" s="18" t="n"/>
      <c r="F233" s="18" t="n"/>
      <c r="G233" s="21" t="n"/>
      <c r="H233" s="23">
        <f>IF(OR(B233="",G233=""),"",G233-B233)</f>
        <v/>
      </c>
      <c r="I233" s="18" t="n"/>
    </row>
    <row r="234">
      <c r="A234" s="18" t="n"/>
      <c r="B234" s="21" t="n"/>
      <c r="C234" s="18" t="n"/>
      <c r="D234" s="18" t="n"/>
      <c r="E234" s="18" t="n"/>
      <c r="F234" s="18" t="n"/>
      <c r="G234" s="21" t="n"/>
      <c r="H234" s="23">
        <f>IF(OR(B234="",G234=""),"",G234-B234)</f>
        <v/>
      </c>
      <c r="I234" s="18" t="n"/>
    </row>
    <row r="235">
      <c r="A235" s="18" t="n"/>
      <c r="B235" s="21" t="n"/>
      <c r="C235" s="18" t="n"/>
      <c r="D235" s="18" t="n"/>
      <c r="E235" s="18" t="n"/>
      <c r="F235" s="18" t="n"/>
      <c r="G235" s="21" t="n"/>
      <c r="H235" s="23">
        <f>IF(OR(B235="",G235=""),"",G235-B235)</f>
        <v/>
      </c>
      <c r="I235" s="18" t="n"/>
    </row>
    <row r="236">
      <c r="A236" s="18" t="n"/>
      <c r="B236" s="21" t="n"/>
      <c r="C236" s="18" t="n"/>
      <c r="D236" s="18" t="n"/>
      <c r="E236" s="18" t="n"/>
      <c r="F236" s="18" t="n"/>
      <c r="G236" s="21" t="n"/>
      <c r="H236" s="23">
        <f>IF(OR(B236="",G236=""),"",G236-B236)</f>
        <v/>
      </c>
      <c r="I236" s="18" t="n"/>
    </row>
    <row r="237">
      <c r="A237" s="18" t="n"/>
      <c r="B237" s="21" t="n"/>
      <c r="C237" s="18" t="n"/>
      <c r="D237" s="18" t="n"/>
      <c r="E237" s="18" t="n"/>
      <c r="F237" s="18" t="n"/>
      <c r="G237" s="21" t="n"/>
      <c r="H237" s="23">
        <f>IF(OR(B237="",G237=""),"",G237-B237)</f>
        <v/>
      </c>
      <c r="I237" s="18" t="n"/>
    </row>
    <row r="238">
      <c r="A238" s="18" t="n"/>
      <c r="B238" s="21" t="n"/>
      <c r="C238" s="18" t="n"/>
      <c r="D238" s="18" t="n"/>
      <c r="E238" s="18" t="n"/>
      <c r="F238" s="18" t="n"/>
      <c r="G238" s="21" t="n"/>
      <c r="H238" s="23">
        <f>IF(OR(B238="",G238=""),"",G238-B238)</f>
        <v/>
      </c>
      <c r="I238" s="18" t="n"/>
    </row>
    <row r="239">
      <c r="A239" s="18" t="n"/>
      <c r="B239" s="21" t="n"/>
      <c r="C239" s="18" t="n"/>
      <c r="D239" s="18" t="n"/>
      <c r="E239" s="18" t="n"/>
      <c r="F239" s="18" t="n"/>
      <c r="G239" s="21" t="n"/>
      <c r="H239" s="23">
        <f>IF(OR(B239="",G239=""),"",G239-B239)</f>
        <v/>
      </c>
      <c r="I239" s="18" t="n"/>
    </row>
    <row r="240">
      <c r="A240" s="18" t="n"/>
      <c r="B240" s="21" t="n"/>
      <c r="C240" s="18" t="n"/>
      <c r="D240" s="18" t="n"/>
      <c r="E240" s="18" t="n"/>
      <c r="F240" s="18" t="n"/>
      <c r="G240" s="21" t="n"/>
      <c r="H240" s="23">
        <f>IF(OR(B240="",G240=""),"",G240-B240)</f>
        <v/>
      </c>
      <c r="I240" s="18" t="n"/>
    </row>
    <row r="241">
      <c r="A241" s="18" t="n"/>
      <c r="B241" s="21" t="n"/>
      <c r="C241" s="18" t="n"/>
      <c r="D241" s="18" t="n"/>
      <c r="E241" s="18" t="n"/>
      <c r="F241" s="18" t="n"/>
      <c r="G241" s="21" t="n"/>
      <c r="H241" s="23">
        <f>IF(OR(B241="",G241=""),"",G241-B241)</f>
        <v/>
      </c>
      <c r="I241" s="18" t="n"/>
    </row>
    <row r="242">
      <c r="A242" s="18" t="n"/>
      <c r="B242" s="21" t="n"/>
      <c r="C242" s="18" t="n"/>
      <c r="D242" s="18" t="n"/>
      <c r="E242" s="18" t="n"/>
      <c r="F242" s="18" t="n"/>
      <c r="G242" s="21" t="n"/>
      <c r="H242" s="23">
        <f>IF(OR(B242="",G242=""),"",G242-B242)</f>
        <v/>
      </c>
      <c r="I242" s="18" t="n"/>
    </row>
    <row r="243">
      <c r="A243" s="18" t="n"/>
      <c r="B243" s="21" t="n"/>
      <c r="C243" s="18" t="n"/>
      <c r="D243" s="18" t="n"/>
      <c r="E243" s="18" t="n"/>
      <c r="F243" s="18" t="n"/>
      <c r="G243" s="21" t="n"/>
      <c r="H243" s="23">
        <f>IF(OR(B243="",G243=""),"",G243-B243)</f>
        <v/>
      </c>
      <c r="I243" s="18" t="n"/>
    </row>
    <row r="244">
      <c r="A244" s="18" t="n"/>
      <c r="B244" s="21" t="n"/>
      <c r="C244" s="18" t="n"/>
      <c r="D244" s="18" t="n"/>
      <c r="E244" s="18" t="n"/>
      <c r="F244" s="18" t="n"/>
      <c r="G244" s="21" t="n"/>
      <c r="H244" s="23">
        <f>IF(OR(B244="",G244=""),"",G244-B244)</f>
        <v/>
      </c>
      <c r="I244" s="18" t="n"/>
    </row>
    <row r="245">
      <c r="A245" s="18" t="n"/>
      <c r="B245" s="21" t="n"/>
      <c r="C245" s="18" t="n"/>
      <c r="D245" s="18" t="n"/>
      <c r="E245" s="18" t="n"/>
      <c r="F245" s="18" t="n"/>
      <c r="G245" s="21" t="n"/>
      <c r="H245" s="23">
        <f>IF(OR(B245="",G245=""),"",G245-B245)</f>
        <v/>
      </c>
      <c r="I245" s="18" t="n"/>
    </row>
    <row r="246">
      <c r="A246" s="18" t="n"/>
      <c r="B246" s="21" t="n"/>
      <c r="C246" s="18" t="n"/>
      <c r="D246" s="18" t="n"/>
      <c r="E246" s="18" t="n"/>
      <c r="F246" s="18" t="n"/>
      <c r="G246" s="21" t="n"/>
      <c r="H246" s="23">
        <f>IF(OR(B246="",G246=""),"",G246-B246)</f>
        <v/>
      </c>
      <c r="I246" s="18" t="n"/>
    </row>
    <row r="247">
      <c r="A247" s="18" t="n"/>
      <c r="B247" s="21" t="n"/>
      <c r="C247" s="18" t="n"/>
      <c r="D247" s="18" t="n"/>
      <c r="E247" s="18" t="n"/>
      <c r="F247" s="18" t="n"/>
      <c r="G247" s="21" t="n"/>
      <c r="H247" s="23">
        <f>IF(OR(B247="",G247=""),"",G247-B247)</f>
        <v/>
      </c>
      <c r="I247" s="18" t="n"/>
    </row>
    <row r="248">
      <c r="A248" s="18" t="n"/>
      <c r="B248" s="21" t="n"/>
      <c r="C248" s="18" t="n"/>
      <c r="D248" s="18" t="n"/>
      <c r="E248" s="18" t="n"/>
      <c r="F248" s="18" t="n"/>
      <c r="G248" s="21" t="n"/>
      <c r="H248" s="23">
        <f>IF(OR(B248="",G248=""),"",G248-B248)</f>
        <v/>
      </c>
      <c r="I248" s="18" t="n"/>
    </row>
    <row r="249">
      <c r="A249" s="18" t="n"/>
      <c r="B249" s="21" t="n"/>
      <c r="C249" s="18" t="n"/>
      <c r="D249" s="18" t="n"/>
      <c r="E249" s="18" t="n"/>
      <c r="F249" s="18" t="n"/>
      <c r="G249" s="21" t="n"/>
      <c r="H249" s="23">
        <f>IF(OR(B249="",G249=""),"",G249-B249)</f>
        <v/>
      </c>
      <c r="I249" s="18" t="n"/>
    </row>
    <row r="250">
      <c r="A250" s="18" t="n"/>
      <c r="B250" s="21" t="n"/>
      <c r="C250" s="18" t="n"/>
      <c r="D250" s="18" t="n"/>
      <c r="E250" s="18" t="n"/>
      <c r="F250" s="18" t="n"/>
      <c r="G250" s="21" t="n"/>
      <c r="H250" s="23">
        <f>IF(OR(B250="",G250=""),"",G250-B250)</f>
        <v/>
      </c>
      <c r="I250" s="18" t="n"/>
    </row>
    <row r="251">
      <c r="A251" s="18" t="n"/>
      <c r="B251" s="21" t="n"/>
      <c r="C251" s="18" t="n"/>
      <c r="D251" s="18" t="n"/>
      <c r="E251" s="18" t="n"/>
      <c r="F251" s="18" t="n"/>
      <c r="G251" s="21" t="n"/>
      <c r="H251" s="23">
        <f>IF(OR(B251="",G251=""),"",G251-B251)</f>
        <v/>
      </c>
      <c r="I251" s="18" t="n"/>
    </row>
    <row r="252">
      <c r="A252" s="18" t="n"/>
      <c r="B252" s="21" t="n"/>
      <c r="C252" s="18" t="n"/>
      <c r="D252" s="18" t="n"/>
      <c r="E252" s="18" t="n"/>
      <c r="F252" s="18" t="n"/>
      <c r="G252" s="21" t="n"/>
      <c r="H252" s="23">
        <f>IF(OR(B252="",G252=""),"",G252-B252)</f>
        <v/>
      </c>
      <c r="I252" s="18" t="n"/>
    </row>
    <row r="253">
      <c r="A253" s="18" t="n"/>
      <c r="B253" s="21" t="n"/>
      <c r="C253" s="18" t="n"/>
      <c r="D253" s="18" t="n"/>
      <c r="E253" s="18" t="n"/>
      <c r="F253" s="18" t="n"/>
      <c r="G253" s="21" t="n"/>
      <c r="H253" s="23">
        <f>IF(OR(B253="",G253=""),"",G253-B253)</f>
        <v/>
      </c>
      <c r="I253" s="18" t="n"/>
    </row>
    <row r="254">
      <c r="A254" s="18" t="n"/>
      <c r="B254" s="21" t="n"/>
      <c r="C254" s="18" t="n"/>
      <c r="D254" s="18" t="n"/>
      <c r="E254" s="18" t="n"/>
      <c r="F254" s="18" t="n"/>
      <c r="G254" s="21" t="n"/>
      <c r="H254" s="23">
        <f>IF(OR(B254="",G254=""),"",G254-B254)</f>
        <v/>
      </c>
      <c r="I254" s="18" t="n"/>
    </row>
    <row r="255">
      <c r="A255" s="18" t="n"/>
      <c r="B255" s="21" t="n"/>
      <c r="C255" s="18" t="n"/>
      <c r="D255" s="18" t="n"/>
      <c r="E255" s="18" t="n"/>
      <c r="F255" s="18" t="n"/>
      <c r="G255" s="21" t="n"/>
      <c r="H255" s="23">
        <f>IF(OR(B255="",G255=""),"",G255-B255)</f>
        <v/>
      </c>
      <c r="I255" s="18" t="n"/>
    </row>
    <row r="256">
      <c r="A256" s="18" t="n"/>
      <c r="B256" s="21" t="n"/>
      <c r="C256" s="18" t="n"/>
      <c r="D256" s="18" t="n"/>
      <c r="E256" s="18" t="n"/>
      <c r="F256" s="18" t="n"/>
      <c r="G256" s="21" t="n"/>
      <c r="H256" s="23">
        <f>IF(OR(B256="",G256=""),"",G256-B256)</f>
        <v/>
      </c>
      <c r="I256" s="18" t="n"/>
    </row>
    <row r="257">
      <c r="A257" s="18" t="n"/>
      <c r="B257" s="21" t="n"/>
      <c r="C257" s="18" t="n"/>
      <c r="D257" s="18" t="n"/>
      <c r="E257" s="18" t="n"/>
      <c r="F257" s="18" t="n"/>
      <c r="G257" s="21" t="n"/>
      <c r="H257" s="23">
        <f>IF(OR(B257="",G257=""),"",G257-B257)</f>
        <v/>
      </c>
      <c r="I257" s="18" t="n"/>
    </row>
    <row r="258">
      <c r="A258" s="18" t="n"/>
      <c r="B258" s="21" t="n"/>
      <c r="C258" s="18" t="n"/>
      <c r="D258" s="18" t="n"/>
      <c r="E258" s="18" t="n"/>
      <c r="F258" s="18" t="n"/>
      <c r="G258" s="21" t="n"/>
      <c r="H258" s="23">
        <f>IF(OR(B258="",G258=""),"",G258-B258)</f>
        <v/>
      </c>
      <c r="I258" s="18" t="n"/>
    </row>
    <row r="259">
      <c r="A259" s="18" t="n"/>
      <c r="B259" s="21" t="n"/>
      <c r="C259" s="18" t="n"/>
      <c r="D259" s="18" t="n"/>
      <c r="E259" s="18" t="n"/>
      <c r="F259" s="18" t="n"/>
      <c r="G259" s="21" t="n"/>
      <c r="H259" s="23">
        <f>IF(OR(B259="",G259=""),"",G259-B259)</f>
        <v/>
      </c>
      <c r="I259" s="18" t="n"/>
    </row>
    <row r="260">
      <c r="A260" s="18" t="n"/>
      <c r="B260" s="21" t="n"/>
      <c r="C260" s="18" t="n"/>
      <c r="D260" s="18" t="n"/>
      <c r="E260" s="18" t="n"/>
      <c r="F260" s="18" t="n"/>
      <c r="G260" s="21" t="n"/>
      <c r="H260" s="23">
        <f>IF(OR(B260="",G260=""),"",G260-B260)</f>
        <v/>
      </c>
      <c r="I260" s="18" t="n"/>
    </row>
    <row r="261">
      <c r="A261" s="18" t="n"/>
      <c r="B261" s="21" t="n"/>
      <c r="C261" s="18" t="n"/>
      <c r="D261" s="18" t="n"/>
      <c r="E261" s="18" t="n"/>
      <c r="F261" s="18" t="n"/>
      <c r="G261" s="21" t="n"/>
      <c r="H261" s="23">
        <f>IF(OR(B261="",G261=""),"",G261-B261)</f>
        <v/>
      </c>
      <c r="I261" s="18" t="n"/>
    </row>
    <row r="262">
      <c r="A262" s="18" t="n"/>
      <c r="B262" s="21" t="n"/>
      <c r="C262" s="18" t="n"/>
      <c r="D262" s="18" t="n"/>
      <c r="E262" s="18" t="n"/>
      <c r="F262" s="18" t="n"/>
      <c r="G262" s="21" t="n"/>
      <c r="H262" s="23">
        <f>IF(OR(B262="",G262=""),"",G262-B262)</f>
        <v/>
      </c>
      <c r="I262" s="18" t="n"/>
    </row>
    <row r="263">
      <c r="A263" s="18" t="n"/>
      <c r="B263" s="21" t="n"/>
      <c r="C263" s="18" t="n"/>
      <c r="D263" s="18" t="n"/>
      <c r="E263" s="18" t="n"/>
      <c r="F263" s="18" t="n"/>
      <c r="G263" s="21" t="n"/>
      <c r="H263" s="23">
        <f>IF(OR(B263="",G263=""),"",G263-B263)</f>
        <v/>
      </c>
      <c r="I263" s="18" t="n"/>
    </row>
    <row r="264">
      <c r="A264" s="18" t="n"/>
      <c r="B264" s="21" t="n"/>
      <c r="C264" s="18" t="n"/>
      <c r="D264" s="18" t="n"/>
      <c r="E264" s="18" t="n"/>
      <c r="F264" s="18" t="n"/>
      <c r="G264" s="21" t="n"/>
      <c r="H264" s="23">
        <f>IF(OR(B264="",G264=""),"",G264-B264)</f>
        <v/>
      </c>
      <c r="I264" s="18" t="n"/>
    </row>
    <row r="265">
      <c r="A265" s="18" t="n"/>
      <c r="B265" s="21" t="n"/>
      <c r="C265" s="18" t="n"/>
      <c r="D265" s="18" t="n"/>
      <c r="E265" s="18" t="n"/>
      <c r="F265" s="18" t="n"/>
      <c r="G265" s="21" t="n"/>
      <c r="H265" s="23">
        <f>IF(OR(B265="",G265=""),"",G265-B265)</f>
        <v/>
      </c>
      <c r="I265" s="18" t="n"/>
    </row>
    <row r="266">
      <c r="A266" s="18" t="n"/>
      <c r="B266" s="21" t="n"/>
      <c r="C266" s="18" t="n"/>
      <c r="D266" s="18" t="n"/>
      <c r="E266" s="18" t="n"/>
      <c r="F266" s="18" t="n"/>
      <c r="G266" s="21" t="n"/>
      <c r="H266" s="23">
        <f>IF(OR(B266="",G266=""),"",G266-B266)</f>
        <v/>
      </c>
      <c r="I266" s="18" t="n"/>
    </row>
    <row r="267">
      <c r="A267" s="18" t="n"/>
      <c r="B267" s="21" t="n"/>
      <c r="C267" s="18" t="n"/>
      <c r="D267" s="18" t="n"/>
      <c r="E267" s="18" t="n"/>
      <c r="F267" s="18" t="n"/>
      <c r="G267" s="21" t="n"/>
      <c r="H267" s="23">
        <f>IF(OR(B267="",G267=""),"",G267-B267)</f>
        <v/>
      </c>
      <c r="I267" s="18" t="n"/>
    </row>
    <row r="268">
      <c r="A268" s="18" t="n"/>
      <c r="B268" s="21" t="n"/>
      <c r="C268" s="18" t="n"/>
      <c r="D268" s="18" t="n"/>
      <c r="E268" s="18" t="n"/>
      <c r="F268" s="18" t="n"/>
      <c r="G268" s="21" t="n"/>
      <c r="H268" s="23">
        <f>IF(OR(B268="",G268=""),"",G268-B268)</f>
        <v/>
      </c>
      <c r="I268" s="18" t="n"/>
    </row>
    <row r="269">
      <c r="A269" s="18" t="n"/>
      <c r="B269" s="21" t="n"/>
      <c r="C269" s="18" t="n"/>
      <c r="D269" s="18" t="n"/>
      <c r="E269" s="18" t="n"/>
      <c r="F269" s="18" t="n"/>
      <c r="G269" s="21" t="n"/>
      <c r="H269" s="23">
        <f>IF(OR(B269="",G269=""),"",G269-B269)</f>
        <v/>
      </c>
      <c r="I269" s="18" t="n"/>
    </row>
    <row r="270">
      <c r="A270" s="18" t="n"/>
      <c r="B270" s="21" t="n"/>
      <c r="C270" s="18" t="n"/>
      <c r="D270" s="18" t="n"/>
      <c r="E270" s="18" t="n"/>
      <c r="F270" s="18" t="n"/>
      <c r="G270" s="21" t="n"/>
      <c r="H270" s="23">
        <f>IF(OR(B270="",G270=""),"",G270-B270)</f>
        <v/>
      </c>
      <c r="I270" s="18" t="n"/>
    </row>
    <row r="271">
      <c r="A271" s="18" t="n"/>
      <c r="B271" s="21" t="n"/>
      <c r="C271" s="18" t="n"/>
      <c r="D271" s="18" t="n"/>
      <c r="E271" s="18" t="n"/>
      <c r="F271" s="18" t="n"/>
      <c r="G271" s="21" t="n"/>
      <c r="H271" s="23">
        <f>IF(OR(B271="",G271=""),"",G271-B271)</f>
        <v/>
      </c>
      <c r="I271" s="18" t="n"/>
    </row>
    <row r="272">
      <c r="A272" s="18" t="n"/>
      <c r="B272" s="21" t="n"/>
      <c r="C272" s="18" t="n"/>
      <c r="D272" s="18" t="n"/>
      <c r="E272" s="18" t="n"/>
      <c r="F272" s="18" t="n"/>
      <c r="G272" s="21" t="n"/>
      <c r="H272" s="23">
        <f>IF(OR(B272="",G272=""),"",G272-B272)</f>
        <v/>
      </c>
      <c r="I272" s="18" t="n"/>
    </row>
    <row r="273">
      <c r="A273" s="18" t="n"/>
      <c r="B273" s="21" t="n"/>
      <c r="C273" s="18" t="n"/>
      <c r="D273" s="18" t="n"/>
      <c r="E273" s="18" t="n"/>
      <c r="F273" s="18" t="n"/>
      <c r="G273" s="21" t="n"/>
      <c r="H273" s="23">
        <f>IF(OR(B273="",G273=""),"",G273-B273)</f>
        <v/>
      </c>
      <c r="I273" s="18" t="n"/>
    </row>
    <row r="274">
      <c r="A274" s="18" t="n"/>
      <c r="B274" s="21" t="n"/>
      <c r="C274" s="18" t="n"/>
      <c r="D274" s="18" t="n"/>
      <c r="E274" s="18" t="n"/>
      <c r="F274" s="18" t="n"/>
      <c r="G274" s="21" t="n"/>
      <c r="H274" s="23">
        <f>IF(OR(B274="",G274=""),"",G274-B274)</f>
        <v/>
      </c>
      <c r="I274" s="18" t="n"/>
    </row>
    <row r="275">
      <c r="A275" s="18" t="n"/>
      <c r="B275" s="21" t="n"/>
      <c r="C275" s="18" t="n"/>
      <c r="D275" s="18" t="n"/>
      <c r="E275" s="18" t="n"/>
      <c r="F275" s="18" t="n"/>
      <c r="G275" s="21" t="n"/>
      <c r="H275" s="23">
        <f>IF(OR(B275="",G275=""),"",G275-B275)</f>
        <v/>
      </c>
      <c r="I275" s="18" t="n"/>
    </row>
    <row r="276">
      <c r="A276" s="18" t="n"/>
      <c r="B276" s="21" t="n"/>
      <c r="C276" s="18" t="n"/>
      <c r="D276" s="18" t="n"/>
      <c r="E276" s="18" t="n"/>
      <c r="F276" s="18" t="n"/>
      <c r="G276" s="21" t="n"/>
      <c r="H276" s="23">
        <f>IF(OR(B276="",G276=""),"",G276-B276)</f>
        <v/>
      </c>
      <c r="I276" s="18" t="n"/>
    </row>
    <row r="277">
      <c r="A277" s="18" t="n"/>
      <c r="B277" s="21" t="n"/>
      <c r="C277" s="18" t="n"/>
      <c r="D277" s="18" t="n"/>
      <c r="E277" s="18" t="n"/>
      <c r="F277" s="18" t="n"/>
      <c r="G277" s="21" t="n"/>
      <c r="H277" s="23">
        <f>IF(OR(B277="",G277=""),"",G277-B277)</f>
        <v/>
      </c>
      <c r="I277" s="18" t="n"/>
    </row>
    <row r="278">
      <c r="A278" s="18" t="n"/>
      <c r="B278" s="21" t="n"/>
      <c r="C278" s="18" t="n"/>
      <c r="D278" s="18" t="n"/>
      <c r="E278" s="18" t="n"/>
      <c r="F278" s="18" t="n"/>
      <c r="G278" s="21" t="n"/>
      <c r="H278" s="23">
        <f>IF(OR(B278="",G278=""),"",G278-B278)</f>
        <v/>
      </c>
      <c r="I278" s="18" t="n"/>
    </row>
    <row r="279">
      <c r="A279" s="18" t="n"/>
      <c r="B279" s="21" t="n"/>
      <c r="C279" s="18" t="n"/>
      <c r="D279" s="18" t="n"/>
      <c r="E279" s="18" t="n"/>
      <c r="F279" s="18" t="n"/>
      <c r="G279" s="21" t="n"/>
      <c r="H279" s="23">
        <f>IF(OR(B279="",G279=""),"",G279-B279)</f>
        <v/>
      </c>
      <c r="I279" s="18" t="n"/>
    </row>
    <row r="280">
      <c r="A280" s="18" t="n"/>
      <c r="B280" s="21" t="n"/>
      <c r="C280" s="18" t="n"/>
      <c r="D280" s="18" t="n"/>
      <c r="E280" s="18" t="n"/>
      <c r="F280" s="18" t="n"/>
      <c r="G280" s="21" t="n"/>
      <c r="H280" s="23">
        <f>IF(OR(B280="",G280=""),"",G280-B280)</f>
        <v/>
      </c>
      <c r="I280" s="18" t="n"/>
    </row>
    <row r="281">
      <c r="A281" s="18" t="n"/>
      <c r="B281" s="21" t="n"/>
      <c r="C281" s="18" t="n"/>
      <c r="D281" s="18" t="n"/>
      <c r="E281" s="18" t="n"/>
      <c r="F281" s="18" t="n"/>
      <c r="G281" s="21" t="n"/>
      <c r="H281" s="23">
        <f>IF(OR(B281="",G281=""),"",G281-B281)</f>
        <v/>
      </c>
      <c r="I281" s="18" t="n"/>
    </row>
    <row r="282">
      <c r="A282" s="18" t="n"/>
      <c r="B282" s="21" t="n"/>
      <c r="C282" s="18" t="n"/>
      <c r="D282" s="18" t="n"/>
      <c r="E282" s="18" t="n"/>
      <c r="F282" s="18" t="n"/>
      <c r="G282" s="21" t="n"/>
      <c r="H282" s="23">
        <f>IF(OR(B282="",G282=""),"",G282-B282)</f>
        <v/>
      </c>
      <c r="I282" s="18" t="n"/>
    </row>
    <row r="283">
      <c r="A283" s="18" t="n"/>
      <c r="B283" s="21" t="n"/>
      <c r="C283" s="18" t="n"/>
      <c r="D283" s="18" t="n"/>
      <c r="E283" s="18" t="n"/>
      <c r="F283" s="18" t="n"/>
      <c r="G283" s="21" t="n"/>
      <c r="H283" s="23">
        <f>IF(OR(B283="",G283=""),"",G283-B283)</f>
        <v/>
      </c>
      <c r="I283" s="18" t="n"/>
    </row>
    <row r="284">
      <c r="A284" s="18" t="n"/>
      <c r="B284" s="21" t="n"/>
      <c r="C284" s="18" t="n"/>
      <c r="D284" s="18" t="n"/>
      <c r="E284" s="18" t="n"/>
      <c r="F284" s="18" t="n"/>
      <c r="G284" s="21" t="n"/>
      <c r="H284" s="23">
        <f>IF(OR(B284="",G284=""),"",G284-B284)</f>
        <v/>
      </c>
      <c r="I284" s="18" t="n"/>
    </row>
    <row r="285">
      <c r="A285" s="18" t="n"/>
      <c r="B285" s="21" t="n"/>
      <c r="C285" s="18" t="n"/>
      <c r="D285" s="18" t="n"/>
      <c r="E285" s="18" t="n"/>
      <c r="F285" s="18" t="n"/>
      <c r="G285" s="21" t="n"/>
      <c r="H285" s="23">
        <f>IF(OR(B285="",G285=""),"",G285-B285)</f>
        <v/>
      </c>
      <c r="I285" s="18" t="n"/>
    </row>
    <row r="286">
      <c r="A286" s="18" t="n"/>
      <c r="B286" s="21" t="n"/>
      <c r="C286" s="18" t="n"/>
      <c r="D286" s="18" t="n"/>
      <c r="E286" s="18" t="n"/>
      <c r="F286" s="18" t="n"/>
      <c r="G286" s="21" t="n"/>
      <c r="H286" s="23">
        <f>IF(OR(B286="",G286=""),"",G286-B286)</f>
        <v/>
      </c>
      <c r="I286" s="18" t="n"/>
    </row>
    <row r="287">
      <c r="A287" s="18" t="n"/>
      <c r="B287" s="21" t="n"/>
      <c r="C287" s="18" t="n"/>
      <c r="D287" s="18" t="n"/>
      <c r="E287" s="18" t="n"/>
      <c r="F287" s="18" t="n"/>
      <c r="G287" s="21" t="n"/>
      <c r="H287" s="23">
        <f>IF(OR(B287="",G287=""),"",G287-B287)</f>
        <v/>
      </c>
      <c r="I287" s="18" t="n"/>
    </row>
    <row r="288">
      <c r="A288" s="18" t="n"/>
      <c r="B288" s="21" t="n"/>
      <c r="C288" s="18" t="n"/>
      <c r="D288" s="18" t="n"/>
      <c r="E288" s="18" t="n"/>
      <c r="F288" s="18" t="n"/>
      <c r="G288" s="21" t="n"/>
      <c r="H288" s="23">
        <f>IF(OR(B288="",G288=""),"",G288-B288)</f>
        <v/>
      </c>
      <c r="I288" s="18" t="n"/>
    </row>
    <row r="289">
      <c r="A289" s="18" t="n"/>
      <c r="B289" s="21" t="n"/>
      <c r="C289" s="18" t="n"/>
      <c r="D289" s="18" t="n"/>
      <c r="E289" s="18" t="n"/>
      <c r="F289" s="18" t="n"/>
      <c r="G289" s="21" t="n"/>
      <c r="H289" s="23">
        <f>IF(OR(B289="",G289=""),"",G289-B289)</f>
        <v/>
      </c>
      <c r="I289" s="18" t="n"/>
    </row>
    <row r="290">
      <c r="A290" s="18" t="n"/>
      <c r="B290" s="21" t="n"/>
      <c r="C290" s="18" t="n"/>
      <c r="D290" s="18" t="n"/>
      <c r="E290" s="18" t="n"/>
      <c r="F290" s="18" t="n"/>
      <c r="G290" s="21" t="n"/>
      <c r="H290" s="23">
        <f>IF(OR(B290="",G290=""),"",G290-B290)</f>
        <v/>
      </c>
      <c r="I290" s="18" t="n"/>
    </row>
    <row r="291">
      <c r="A291" s="18" t="n"/>
      <c r="B291" s="21" t="n"/>
      <c r="C291" s="18" t="n"/>
      <c r="D291" s="18" t="n"/>
      <c r="E291" s="18" t="n"/>
      <c r="F291" s="18" t="n"/>
      <c r="G291" s="21" t="n"/>
      <c r="H291" s="23">
        <f>IF(OR(B291="",G291=""),"",G291-B291)</f>
        <v/>
      </c>
      <c r="I291" s="18" t="n"/>
    </row>
    <row r="292">
      <c r="A292" s="18" t="n"/>
      <c r="B292" s="21" t="n"/>
      <c r="C292" s="18" t="n"/>
      <c r="D292" s="18" t="n"/>
      <c r="E292" s="18" t="n"/>
      <c r="F292" s="18" t="n"/>
      <c r="G292" s="21" t="n"/>
      <c r="H292" s="23">
        <f>IF(OR(B292="",G292=""),"",G292-B292)</f>
        <v/>
      </c>
      <c r="I292" s="18" t="n"/>
    </row>
    <row r="293">
      <c r="A293" s="18" t="n"/>
      <c r="B293" s="21" t="n"/>
      <c r="C293" s="18" t="n"/>
      <c r="D293" s="18" t="n"/>
      <c r="E293" s="18" t="n"/>
      <c r="F293" s="18" t="n"/>
      <c r="G293" s="21" t="n"/>
      <c r="H293" s="23">
        <f>IF(OR(B293="",G293=""),"",G293-B293)</f>
        <v/>
      </c>
      <c r="I293" s="18" t="n"/>
    </row>
    <row r="294">
      <c r="A294" s="18" t="n"/>
      <c r="B294" s="21" t="n"/>
      <c r="C294" s="18" t="n"/>
      <c r="D294" s="18" t="n"/>
      <c r="E294" s="18" t="n"/>
      <c r="F294" s="18" t="n"/>
      <c r="G294" s="21" t="n"/>
      <c r="H294" s="23">
        <f>IF(OR(B294="",G294=""),"",G294-B294)</f>
        <v/>
      </c>
      <c r="I294" s="18" t="n"/>
    </row>
    <row r="295">
      <c r="A295" s="18" t="n"/>
      <c r="B295" s="21" t="n"/>
      <c r="C295" s="18" t="n"/>
      <c r="D295" s="18" t="n"/>
      <c r="E295" s="18" t="n"/>
      <c r="F295" s="18" t="n"/>
      <c r="G295" s="21" t="n"/>
      <c r="H295" s="23">
        <f>IF(OR(B295="",G295=""),"",G295-B295)</f>
        <v/>
      </c>
      <c r="I295" s="18" t="n"/>
    </row>
    <row r="296">
      <c r="A296" s="18" t="n"/>
      <c r="B296" s="21" t="n"/>
      <c r="C296" s="18" t="n"/>
      <c r="D296" s="18" t="n"/>
      <c r="E296" s="18" t="n"/>
      <c r="F296" s="18" t="n"/>
      <c r="G296" s="21" t="n"/>
      <c r="H296" s="23">
        <f>IF(OR(B296="",G296=""),"",G296-B296)</f>
        <v/>
      </c>
      <c r="I296" s="18" t="n"/>
    </row>
    <row r="297">
      <c r="A297" s="18" t="n"/>
      <c r="B297" s="21" t="n"/>
      <c r="C297" s="18" t="n"/>
      <c r="D297" s="18" t="n"/>
      <c r="E297" s="18" t="n"/>
      <c r="F297" s="18" t="n"/>
      <c r="G297" s="21" t="n"/>
      <c r="H297" s="23">
        <f>IF(OR(B297="",G297=""),"",G297-B297)</f>
        <v/>
      </c>
      <c r="I297" s="18" t="n"/>
    </row>
    <row r="298">
      <c r="A298" s="18" t="n"/>
      <c r="B298" s="21" t="n"/>
      <c r="C298" s="18" t="n"/>
      <c r="D298" s="18" t="n"/>
      <c r="E298" s="18" t="n"/>
      <c r="F298" s="18" t="n"/>
      <c r="G298" s="21" t="n"/>
      <c r="H298" s="23">
        <f>IF(OR(B298="",G298=""),"",G298-B298)</f>
        <v/>
      </c>
      <c r="I298" s="18" t="n"/>
    </row>
    <row r="299">
      <c r="A299" s="18" t="n"/>
      <c r="B299" s="21" t="n"/>
      <c r="C299" s="18" t="n"/>
      <c r="D299" s="18" t="n"/>
      <c r="E299" s="18" t="n"/>
      <c r="F299" s="18" t="n"/>
      <c r="G299" s="21" t="n"/>
      <c r="H299" s="23">
        <f>IF(OR(B299="",G299=""),"",G299-B299)</f>
        <v/>
      </c>
      <c r="I299" s="18" t="n"/>
    </row>
    <row r="300">
      <c r="A300" s="18" t="n"/>
      <c r="B300" s="21" t="n"/>
      <c r="C300" s="18" t="n"/>
      <c r="D300" s="18" t="n"/>
      <c r="E300" s="18" t="n"/>
      <c r="F300" s="18" t="n"/>
      <c r="G300" s="21" t="n"/>
      <c r="H300" s="23">
        <f>IF(OR(B300="",G300=""),"",G300-B300)</f>
        <v/>
      </c>
      <c r="I300" s="18" t="n"/>
    </row>
    <row r="301">
      <c r="A301" s="18" t="n"/>
      <c r="B301" s="21" t="n"/>
      <c r="C301" s="18" t="n"/>
      <c r="D301" s="18" t="n"/>
      <c r="E301" s="18" t="n"/>
      <c r="F301" s="18" t="n"/>
      <c r="G301" s="21" t="n"/>
      <c r="H301" s="23">
        <f>IF(OR(B301="",G301=""),"",G301-B301)</f>
        <v/>
      </c>
      <c r="I301" s="18" t="n"/>
    </row>
    <row r="302">
      <c r="A302" s="18" t="n"/>
      <c r="B302" s="21" t="n"/>
      <c r="C302" s="18" t="n"/>
      <c r="D302" s="18" t="n"/>
      <c r="E302" s="18" t="n"/>
      <c r="F302" s="18" t="n"/>
      <c r="G302" s="21" t="n"/>
      <c r="H302" s="23">
        <f>IF(OR(B302="",G302=""),"",G302-B302)</f>
        <v/>
      </c>
      <c r="I302" s="18" t="n"/>
    </row>
    <row r="303">
      <c r="A303" s="18" t="n"/>
      <c r="B303" s="21" t="n"/>
      <c r="C303" s="18" t="n"/>
      <c r="D303" s="18" t="n"/>
      <c r="E303" s="18" t="n"/>
      <c r="F303" s="18" t="n"/>
      <c r="G303" s="21" t="n"/>
      <c r="H303" s="23">
        <f>IF(OR(B303="",G303=""),"",G303-B303)</f>
        <v/>
      </c>
      <c r="I303" s="18" t="n"/>
    </row>
    <row r="304">
      <c r="A304" s="18" t="n"/>
      <c r="B304" s="21" t="n"/>
      <c r="C304" s="18" t="n"/>
      <c r="D304" s="18" t="n"/>
      <c r="E304" s="18" t="n"/>
      <c r="F304" s="18" t="n"/>
      <c r="G304" s="21" t="n"/>
      <c r="H304" s="23">
        <f>IF(OR(B304="",G304=""),"",G304-B304)</f>
        <v/>
      </c>
      <c r="I304" s="18" t="n"/>
    </row>
    <row r="305">
      <c r="A305" s="18" t="n"/>
      <c r="B305" s="21" t="n"/>
      <c r="C305" s="18" t="n"/>
      <c r="D305" s="18" t="n"/>
      <c r="E305" s="18" t="n"/>
      <c r="F305" s="18" t="n"/>
      <c r="G305" s="21" t="n"/>
      <c r="H305" s="23">
        <f>IF(OR(B305="",G305=""),"",G305-B305)</f>
        <v/>
      </c>
      <c r="I305" s="18" t="n"/>
    </row>
    <row r="306">
      <c r="A306" s="18" t="n"/>
      <c r="B306" s="21" t="n"/>
      <c r="C306" s="18" t="n"/>
      <c r="D306" s="18" t="n"/>
      <c r="E306" s="18" t="n"/>
      <c r="F306" s="18" t="n"/>
      <c r="G306" s="21" t="n"/>
      <c r="H306" s="23">
        <f>IF(OR(B306="",G306=""),"",G306-B306)</f>
        <v/>
      </c>
      <c r="I306" s="18" t="n"/>
    </row>
    <row r="307">
      <c r="A307" s="18" t="n"/>
      <c r="B307" s="21" t="n"/>
      <c r="C307" s="18" t="n"/>
      <c r="D307" s="18" t="n"/>
      <c r="E307" s="18" t="n"/>
      <c r="F307" s="18" t="n"/>
      <c r="G307" s="21" t="n"/>
      <c r="H307" s="23">
        <f>IF(OR(B307="",G307=""),"",G307-B307)</f>
        <v/>
      </c>
      <c r="I307" s="18" t="n"/>
    </row>
    <row r="308">
      <c r="A308" s="18" t="n"/>
      <c r="B308" s="21" t="n"/>
      <c r="C308" s="18" t="n"/>
      <c r="D308" s="18" t="n"/>
      <c r="E308" s="18" t="n"/>
      <c r="F308" s="18" t="n"/>
      <c r="G308" s="21" t="n"/>
      <c r="H308" s="23">
        <f>IF(OR(B308="",G308=""),"",G308-B308)</f>
        <v/>
      </c>
      <c r="I308" s="18" t="n"/>
    </row>
    <row r="309">
      <c r="A309" s="18" t="n"/>
      <c r="B309" s="21" t="n"/>
      <c r="C309" s="18" t="n"/>
      <c r="D309" s="18" t="n"/>
      <c r="E309" s="18" t="n"/>
      <c r="F309" s="18" t="n"/>
      <c r="G309" s="21" t="n"/>
      <c r="H309" s="23">
        <f>IF(OR(B309="",G309=""),"",G309-B309)</f>
        <v/>
      </c>
      <c r="I309" s="18" t="n"/>
    </row>
    <row r="310">
      <c r="A310" s="18" t="n"/>
      <c r="B310" s="21" t="n"/>
      <c r="C310" s="18" t="n"/>
      <c r="D310" s="18" t="n"/>
      <c r="E310" s="18" t="n"/>
      <c r="F310" s="18" t="n"/>
      <c r="G310" s="21" t="n"/>
      <c r="H310" s="23">
        <f>IF(OR(B310="",G310=""),"",G310-B310)</f>
        <v/>
      </c>
      <c r="I310" s="18" t="n"/>
    </row>
    <row r="311">
      <c r="A311" s="18" t="n"/>
      <c r="B311" s="21" t="n"/>
      <c r="C311" s="18" t="n"/>
      <c r="D311" s="18" t="n"/>
      <c r="E311" s="18" t="n"/>
      <c r="F311" s="18" t="n"/>
      <c r="G311" s="21" t="n"/>
      <c r="H311" s="23">
        <f>IF(OR(B311="",G311=""),"",G311-B311)</f>
        <v/>
      </c>
      <c r="I311" s="18" t="n"/>
    </row>
    <row r="312">
      <c r="A312" s="18" t="n"/>
      <c r="B312" s="21" t="n"/>
      <c r="C312" s="18" t="n"/>
      <c r="D312" s="18" t="n"/>
      <c r="E312" s="18" t="n"/>
      <c r="F312" s="18" t="n"/>
      <c r="G312" s="21" t="n"/>
      <c r="H312" s="23">
        <f>IF(OR(B312="",G312=""),"",G312-B312)</f>
        <v/>
      </c>
      <c r="I312" s="18" t="n"/>
    </row>
    <row r="313">
      <c r="A313" s="18" t="n"/>
      <c r="B313" s="21" t="n"/>
      <c r="C313" s="18" t="n"/>
      <c r="D313" s="18" t="n"/>
      <c r="E313" s="18" t="n"/>
      <c r="F313" s="18" t="n"/>
      <c r="G313" s="21" t="n"/>
      <c r="H313" s="23">
        <f>IF(OR(B313="",G313=""),"",G313-B313)</f>
        <v/>
      </c>
      <c r="I313" s="18" t="n"/>
    </row>
  </sheetData>
  <dataValidations count="2">
    <dataValidation sqref="E14:E313" showDropDown="0" showInputMessage="0" showErrorMessage="1" allowBlank="1" errorTitle="Valor no válido" error="Elige una opción de la lista." type="list">
      <formula1>"Defecto o avería,Error en el envío,No cumple lo que esperaba,Llegó dañado,Otro"</formula1>
    </dataValidation>
    <dataValidation sqref="F14:F313" showDropDown="0" showInputMessage="0" showErrorMessage="1" allowBlank="1" errorTitle="Valor no válido" error="Elige una opción de la lista." type="list">
      <formula1>"Solicitud recibida,Producto recibido,En revisión,Resuelta"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2026-10-22T19:22:30Z</dcterms:created>
  <dcterms:modified xmlns:dcterms="http://purl.org/dc/terms/" xmlns:xsi="http://www.w3.org/2001/XMLSchema-instance" xsi:type="dcterms:W3CDTF">2026-10-22T19:22:31Z</dcterms:modified>
</cp:coreProperties>
</file>