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Comparador" sheetId="3" state="visible" r:id="rId3"/>
    <sheet xmlns:r="http://schemas.openxmlformats.org/officeDocument/2006/relationships" name="Calculadora de retor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"/>
    <numFmt numFmtId="165" formatCode="0.0"/>
    <numFmt numFmtId="166" formatCode="#,##0.00 &quot;€&quot;"/>
  </numFmts>
  <fonts count="12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1F1F1F"/>
      <sz val="9"/>
    </font>
    <font>
      <name val="Arial"/>
      <b val="1"/>
      <color rgb="00FFFFFF"/>
      <sz val="9"/>
    </font>
    <font>
      <name val="Arial"/>
      <color rgb="001F1F1F"/>
      <sz val="9"/>
    </font>
    <font>
      <name val="Arial"/>
      <i val="1"/>
      <color rgb="006B6B6B"/>
      <sz val="9"/>
    </font>
  </fonts>
  <fills count="6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F2F2F2"/>
      </patternFill>
    </fill>
    <fill>
      <patternFill patternType="solid">
        <fgColor rgb="001F1F1F"/>
      </patternFill>
    </fill>
    <fill>
      <patternFill patternType="solid">
        <fgColor rgb="00E3A72F"/>
      </patternFill>
    </fill>
  </fills>
  <borders count="6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vertical="top" wrapText="1"/>
    </xf>
    <xf numFmtId="164" fontId="8" fillId="3" borderId="2" applyAlignment="1" pivotButton="0" quotePrefix="0" xfId="0">
      <alignment vertical="top" wrapText="1"/>
    </xf>
    <xf numFmtId="165" fontId="8" fillId="3" borderId="2" applyAlignment="1" pivotButton="0" quotePrefix="0" xfId="0">
      <alignment vertical="top" wrapText="1"/>
    </xf>
    <xf numFmtId="0" fontId="9" fillId="4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top" wrapText="1"/>
    </xf>
    <xf numFmtId="0" fontId="10" fillId="2" borderId="2" applyAlignment="1" pivotButton="0" quotePrefix="0" xfId="0">
      <alignment horizontal="center" vertical="top" wrapText="1"/>
    </xf>
    <xf numFmtId="166" fontId="10" fillId="2" borderId="2" applyAlignment="1" pivotButton="0" quotePrefix="0" xfId="0">
      <alignment horizontal="center" vertical="top" wrapText="1"/>
    </xf>
    <xf numFmtId="164" fontId="10" fillId="0" borderId="2" applyAlignment="1" pivotButton="0" quotePrefix="0" xfId="0">
      <alignment horizontal="center" vertical="top" wrapText="1"/>
    </xf>
    <xf numFmtId="165" fontId="10" fillId="2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8" fillId="2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vertical="top" wrapText="1"/>
    </xf>
    <xf numFmtId="0" fontId="11" fillId="3" borderId="2" applyAlignment="1" pivotButton="0" quotePrefix="0" xfId="0">
      <alignment vertical="top" wrapText="1"/>
    </xf>
    <xf numFmtId="0" fontId="10" fillId="3" borderId="2" applyAlignment="1" pivotButton="0" quotePrefix="0" xfId="0">
      <alignment vertical="top" wrapText="1"/>
    </xf>
    <xf numFmtId="2" fontId="8" fillId="3" borderId="2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center" vertical="top" wrapText="1"/>
    </xf>
    <xf numFmtId="0" fontId="0" fillId="0" borderId="5" pivotButton="0" quotePrefix="0" xfId="0"/>
    <xf numFmtId="164" fontId="10" fillId="2" borderId="2" applyAlignment="1" pivotButton="0" quotePrefix="0" xfId="0">
      <alignment horizontal="center" vertical="top" wrapText="1"/>
    </xf>
    <xf numFmtId="1" fontId="10" fillId="2" borderId="2" applyAlignment="1" pivotButton="0" quotePrefix="0" xfId="0">
      <alignment horizontal="center" vertical="top" wrapText="1"/>
    </xf>
    <xf numFmtId="164" fontId="8" fillId="3" borderId="2" applyAlignment="1" pivotButton="0" quotePrefix="0" xfId="0">
      <alignment horizontal="center" vertical="top" wrapText="1"/>
    </xf>
    <xf numFmtId="9" fontId="10" fillId="2" borderId="2" applyAlignment="1" pivotButton="0" quotePrefix="0" xfId="0">
      <alignment horizontal="center" vertical="top" wrapText="1"/>
    </xf>
    <xf numFmtId="9" fontId="10" fillId="0" borderId="2" applyAlignment="1" pivotButton="0" quotePrefix="0" xfId="0">
      <alignment horizontal="center" vertical="top" wrapText="1"/>
    </xf>
    <xf numFmtId="165" fontId="8" fillId="3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fgColor rgb="00E3A72F"/>
        </patternFill>
      </fill>
    </dxf>
    <dxf>
      <fill>
        <patternFill patternType="solid">
          <fgColor rgb="00FBE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11 · MATERIAL PRÁCTICO</t>
        </is>
      </c>
      <c r="B1" s="2" t="n"/>
    </row>
    <row r="2" ht="24" customHeight="1">
      <c r="A2" s="3" t="inlineStr">
        <is>
          <t>Inventario, comparador y calculadora de retorno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Inventario de herramientas</t>
        </is>
      </c>
    </row>
    <row r="7" ht="30" customHeight="1">
      <c r="B7" s="6" t="inlineStr">
        <is>
          <t>Anota todas las herramientas que usa tu empresa en marketing, ventas y atención al cliente: quién usa cada una, cuánto cuesta y con cuáles se conecta.</t>
        </is>
      </c>
    </row>
    <row r="8" ht="30" customHeight="1">
      <c r="B8" s="6" t="inlineStr">
        <is>
          <t>Marca las que se solapan y los puntos donde alguien copia datos a mano, con las horas que se le van cada semana. Arriba verás el coste anual total y las horas que podrías recuperar conectándolas.</t>
        </is>
      </c>
    </row>
    <row r="10">
      <c r="A10" s="5" t="inlineStr">
        <is>
          <t>2. Comparador de plataformas</t>
        </is>
      </c>
    </row>
    <row r="11" ht="30" customHeight="1">
      <c r="B11" s="6" t="inlineStr">
        <is>
          <t>Escribe hasta tres plataformas candidatas. Da un peso de 1 a 5 a cada criterio según lo que importe en tu empresa y puntúa cada plataforma de 1 a 5 en cada uno. La hoja calcula la nota ponderada sobre 5.</t>
        </is>
      </c>
    </row>
    <row r="12" ht="30" customHeight="1">
      <c r="B12" s="6" t="inlineStr">
        <is>
          <t>Rellena después el precio total del primer año: la cuota no es el único coste. Compáralo con el retorno que esperas, usando la hoja de coste del trabajo manual del capítulo 1.</t>
        </is>
      </c>
    </row>
    <row r="13" ht="30" customHeight="1">
      <c r="B13" s="6" t="inlineStr">
        <is>
          <t>Antes de decidir, pide una prueba gratuita y que la use quien la tendrá que usar a diario. Y recuerda: define el proceso antes de comprar la herramienta.</t>
        </is>
      </c>
    </row>
    <row r="15">
      <c r="A15" s="5" t="inlineStr">
        <is>
          <t>3. Calculadora de retorno</t>
        </is>
      </c>
    </row>
    <row r="16" ht="45" customHeight="1">
      <c r="B16" s="6" t="inlineStr">
        <is>
          <t>Escribe tus datos de partida y los supuestos de cada escenario. La hoja calcula el coste del primer año, las ganancias, el beneficio, el retorno y el plazo de recuperación. Vienen rellenos los valores del ejemplo del capítulo 11 para que veas cómo funciona.</t>
        </is>
      </c>
    </row>
    <row r="17" ht="30" customHeight="1">
      <c r="B17" s="6" t="inlineStr">
        <is>
          <t>Usa siempre el margen y no la facturación, cuenta las horas de tu equipo y decide con el escenario prudente.</t>
        </is>
      </c>
    </row>
    <row r="19">
      <c r="A19" s="7" t="n"/>
      <c r="B19" s="8" t="inlineStr">
        <is>
          <t>Las celdas en amarillo claro son para rellenar. Las demás se calculan solas.</t>
        </is>
      </c>
    </row>
    <row r="21" ht="26" customHeight="1">
      <c r="B21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8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20" customWidth="1" min="4" max="4"/>
    <col width="10" customWidth="1" min="5" max="5"/>
    <col width="13" customWidth="1" min="6" max="6"/>
    <col width="13" customWidth="1" min="7" max="7"/>
    <col width="26" customWidth="1" min="8" max="8"/>
    <col width="15" customWidth="1" min="9" max="9"/>
    <col width="13" customWidth="1" min="10" max="10"/>
    <col width="22" customWidth="1" min="11" max="11"/>
    <col width="16" customWidth="1" min="12" max="12"/>
    <col width="26" customWidth="1" min="13" max="13"/>
  </cols>
  <sheetData>
    <row r="1">
      <c r="A1" s="1" t="inlineStr">
        <is>
          <t>CAPÍTULO 11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4" customHeight="1">
      <c r="A2" s="3" t="inlineStr">
        <is>
          <t>Inventario de herramientas</t>
        </is>
      </c>
    </row>
    <row r="3">
      <c r="A3" s="4" t="inlineStr">
        <is>
          <t>Qué usas, quién lo usa, cuánto cuesta y con qué se conecta</t>
        </is>
      </c>
    </row>
    <row r="5">
      <c r="A5" s="10" t="inlineStr">
        <is>
          <t>Coste anual total (€)</t>
        </is>
      </c>
      <c r="B5" s="11">
        <f>SUM(G9:G48)</f>
        <v/>
      </c>
    </row>
    <row r="6">
      <c r="A6" s="10" t="inlineStr">
        <is>
          <t>Horas a la semana copiando datos a mano</t>
        </is>
      </c>
      <c r="B6" s="12">
        <f>SUM(J9:J48)</f>
        <v/>
      </c>
    </row>
    <row r="8" ht="30" customHeight="1">
      <c r="A8" s="13" t="inlineStr">
        <is>
          <t>Herramienta</t>
        </is>
      </c>
      <c r="B8" s="13" t="inlineStr">
        <is>
          <t>Para qué se usa</t>
        </is>
      </c>
      <c r="C8" s="13" t="inlineStr">
        <is>
          <t>Área</t>
        </is>
      </c>
      <c r="D8" s="13" t="inlineStr">
        <is>
          <t>Quién la usa</t>
        </is>
      </c>
      <c r="E8" s="13" t="inlineStr">
        <is>
          <t>N.º de usuarios</t>
        </is>
      </c>
      <c r="F8" s="13" t="inlineStr">
        <is>
          <t>Coste mensual (€)</t>
        </is>
      </c>
      <c r="G8" s="13" t="inlineStr">
        <is>
          <t>Coste anual (€)</t>
        </is>
      </c>
      <c r="H8" s="13" t="inlineStr">
        <is>
          <t>Se conecta con</t>
        </is>
      </c>
      <c r="I8" s="13" t="inlineStr">
        <is>
          <t>¿Se copian datos a mano?</t>
        </is>
      </c>
      <c r="J8" s="13" t="inlineStr">
        <is>
          <t>Horas a la semana copiando</t>
        </is>
      </c>
      <c r="K8" s="13" t="inlineStr">
        <is>
          <t>Se solapa con</t>
        </is>
      </c>
      <c r="L8" s="13" t="inlineStr">
        <is>
          <t>Decisión</t>
        </is>
      </c>
      <c r="M8" s="13" t="inlineStr">
        <is>
          <t>Notas</t>
        </is>
      </c>
    </row>
    <row r="9">
      <c r="A9" s="14" t="n"/>
      <c r="B9" s="14" t="n"/>
      <c r="C9" s="14" t="n"/>
      <c r="D9" s="14" t="n"/>
      <c r="E9" s="15" t="n"/>
      <c r="F9" s="16" t="n"/>
      <c r="G9" s="17">
        <f>IF(F9="","",F9*12)</f>
        <v/>
      </c>
      <c r="H9" s="14" t="n"/>
      <c r="I9" s="14" t="n"/>
      <c r="J9" s="18" t="n"/>
      <c r="K9" s="14" t="n"/>
      <c r="L9" s="14" t="n"/>
      <c r="M9" s="14" t="n"/>
    </row>
    <row r="10">
      <c r="A10" s="14" t="n"/>
      <c r="B10" s="14" t="n"/>
      <c r="C10" s="14" t="n"/>
      <c r="D10" s="14" t="n"/>
      <c r="E10" s="15" t="n"/>
      <c r="F10" s="16" t="n"/>
      <c r="G10" s="17">
        <f>IF(F10="","",F10*12)</f>
        <v/>
      </c>
      <c r="H10" s="14" t="n"/>
      <c r="I10" s="14" t="n"/>
      <c r="J10" s="18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5" t="n"/>
      <c r="F11" s="16" t="n"/>
      <c r="G11" s="17">
        <f>IF(F11="","",F11*12)</f>
        <v/>
      </c>
      <c r="H11" s="14" t="n"/>
      <c r="I11" s="14" t="n"/>
      <c r="J11" s="18" t="n"/>
      <c r="K11" s="14" t="n"/>
      <c r="L11" s="14" t="n"/>
      <c r="M11" s="14" t="n"/>
    </row>
    <row r="12">
      <c r="A12" s="14" t="n"/>
      <c r="B12" s="14" t="n"/>
      <c r="C12" s="14" t="n"/>
      <c r="D12" s="14" t="n"/>
      <c r="E12" s="15" t="n"/>
      <c r="F12" s="16" t="n"/>
      <c r="G12" s="17">
        <f>IF(F12="","",F12*12)</f>
        <v/>
      </c>
      <c r="H12" s="14" t="n"/>
      <c r="I12" s="14" t="n"/>
      <c r="J12" s="18" t="n"/>
      <c r="K12" s="14" t="n"/>
      <c r="L12" s="14" t="n"/>
      <c r="M12" s="14" t="n"/>
    </row>
    <row r="13">
      <c r="A13" s="14" t="n"/>
      <c r="B13" s="14" t="n"/>
      <c r="C13" s="14" t="n"/>
      <c r="D13" s="14" t="n"/>
      <c r="E13" s="15" t="n"/>
      <c r="F13" s="16" t="n"/>
      <c r="G13" s="17">
        <f>IF(F13="","",F13*12)</f>
        <v/>
      </c>
      <c r="H13" s="14" t="n"/>
      <c r="I13" s="14" t="n"/>
      <c r="J13" s="18" t="n"/>
      <c r="K13" s="14" t="n"/>
      <c r="L13" s="14" t="n"/>
      <c r="M13" s="14" t="n"/>
    </row>
    <row r="14">
      <c r="A14" s="14" t="n"/>
      <c r="B14" s="14" t="n"/>
      <c r="C14" s="14" t="n"/>
      <c r="D14" s="14" t="n"/>
      <c r="E14" s="15" t="n"/>
      <c r="F14" s="16" t="n"/>
      <c r="G14" s="17">
        <f>IF(F14="","",F14*12)</f>
        <v/>
      </c>
      <c r="H14" s="14" t="n"/>
      <c r="I14" s="14" t="n"/>
      <c r="J14" s="18" t="n"/>
      <c r="K14" s="14" t="n"/>
      <c r="L14" s="14" t="n"/>
      <c r="M14" s="14" t="n"/>
    </row>
    <row r="15">
      <c r="A15" s="14" t="n"/>
      <c r="B15" s="14" t="n"/>
      <c r="C15" s="14" t="n"/>
      <c r="D15" s="14" t="n"/>
      <c r="E15" s="15" t="n"/>
      <c r="F15" s="16" t="n"/>
      <c r="G15" s="17">
        <f>IF(F15="","",F15*12)</f>
        <v/>
      </c>
      <c r="H15" s="14" t="n"/>
      <c r="I15" s="14" t="n"/>
      <c r="J15" s="18" t="n"/>
      <c r="K15" s="14" t="n"/>
      <c r="L15" s="14" t="n"/>
      <c r="M15" s="14" t="n"/>
    </row>
    <row r="16">
      <c r="A16" s="14" t="n"/>
      <c r="B16" s="14" t="n"/>
      <c r="C16" s="14" t="n"/>
      <c r="D16" s="14" t="n"/>
      <c r="E16" s="15" t="n"/>
      <c r="F16" s="16" t="n"/>
      <c r="G16" s="17">
        <f>IF(F16="","",F16*12)</f>
        <v/>
      </c>
      <c r="H16" s="14" t="n"/>
      <c r="I16" s="14" t="n"/>
      <c r="J16" s="18" t="n"/>
      <c r="K16" s="14" t="n"/>
      <c r="L16" s="14" t="n"/>
      <c r="M16" s="14" t="n"/>
    </row>
    <row r="17">
      <c r="A17" s="14" t="n"/>
      <c r="B17" s="14" t="n"/>
      <c r="C17" s="14" t="n"/>
      <c r="D17" s="14" t="n"/>
      <c r="E17" s="15" t="n"/>
      <c r="F17" s="16" t="n"/>
      <c r="G17" s="17">
        <f>IF(F17="","",F17*12)</f>
        <v/>
      </c>
      <c r="H17" s="14" t="n"/>
      <c r="I17" s="14" t="n"/>
      <c r="J17" s="18" t="n"/>
      <c r="K17" s="14" t="n"/>
      <c r="L17" s="14" t="n"/>
      <c r="M17" s="14" t="n"/>
    </row>
    <row r="18">
      <c r="A18" s="14" t="n"/>
      <c r="B18" s="14" t="n"/>
      <c r="C18" s="14" t="n"/>
      <c r="D18" s="14" t="n"/>
      <c r="E18" s="15" t="n"/>
      <c r="F18" s="16" t="n"/>
      <c r="G18" s="17">
        <f>IF(F18="","",F18*12)</f>
        <v/>
      </c>
      <c r="H18" s="14" t="n"/>
      <c r="I18" s="14" t="n"/>
      <c r="J18" s="18" t="n"/>
      <c r="K18" s="14" t="n"/>
      <c r="L18" s="14" t="n"/>
      <c r="M18" s="14" t="n"/>
    </row>
    <row r="19">
      <c r="A19" s="14" t="n"/>
      <c r="B19" s="14" t="n"/>
      <c r="C19" s="14" t="n"/>
      <c r="D19" s="14" t="n"/>
      <c r="E19" s="15" t="n"/>
      <c r="F19" s="16" t="n"/>
      <c r="G19" s="17">
        <f>IF(F19="","",F19*12)</f>
        <v/>
      </c>
      <c r="H19" s="14" t="n"/>
      <c r="I19" s="14" t="n"/>
      <c r="J19" s="18" t="n"/>
      <c r="K19" s="14" t="n"/>
      <c r="L19" s="14" t="n"/>
      <c r="M19" s="14" t="n"/>
    </row>
    <row r="20">
      <c r="A20" s="14" t="n"/>
      <c r="B20" s="14" t="n"/>
      <c r="C20" s="14" t="n"/>
      <c r="D20" s="14" t="n"/>
      <c r="E20" s="15" t="n"/>
      <c r="F20" s="16" t="n"/>
      <c r="G20" s="17">
        <f>IF(F20="","",F20*12)</f>
        <v/>
      </c>
      <c r="H20" s="14" t="n"/>
      <c r="I20" s="14" t="n"/>
      <c r="J20" s="18" t="n"/>
      <c r="K20" s="14" t="n"/>
      <c r="L20" s="14" t="n"/>
      <c r="M20" s="14" t="n"/>
    </row>
    <row r="21">
      <c r="A21" s="14" t="n"/>
      <c r="B21" s="14" t="n"/>
      <c r="C21" s="14" t="n"/>
      <c r="D21" s="14" t="n"/>
      <c r="E21" s="15" t="n"/>
      <c r="F21" s="16" t="n"/>
      <c r="G21" s="17">
        <f>IF(F21="","",F21*12)</f>
        <v/>
      </c>
      <c r="H21" s="14" t="n"/>
      <c r="I21" s="14" t="n"/>
      <c r="J21" s="18" t="n"/>
      <c r="K21" s="14" t="n"/>
      <c r="L21" s="14" t="n"/>
      <c r="M21" s="14" t="n"/>
    </row>
    <row r="22">
      <c r="A22" s="14" t="n"/>
      <c r="B22" s="14" t="n"/>
      <c r="C22" s="14" t="n"/>
      <c r="D22" s="14" t="n"/>
      <c r="E22" s="15" t="n"/>
      <c r="F22" s="16" t="n"/>
      <c r="G22" s="17">
        <f>IF(F22="","",F22*12)</f>
        <v/>
      </c>
      <c r="H22" s="14" t="n"/>
      <c r="I22" s="14" t="n"/>
      <c r="J22" s="18" t="n"/>
      <c r="K22" s="14" t="n"/>
      <c r="L22" s="14" t="n"/>
      <c r="M22" s="14" t="n"/>
    </row>
    <row r="23">
      <c r="A23" s="14" t="n"/>
      <c r="B23" s="14" t="n"/>
      <c r="C23" s="14" t="n"/>
      <c r="D23" s="14" t="n"/>
      <c r="E23" s="15" t="n"/>
      <c r="F23" s="16" t="n"/>
      <c r="G23" s="17">
        <f>IF(F23="","",F23*12)</f>
        <v/>
      </c>
      <c r="H23" s="14" t="n"/>
      <c r="I23" s="14" t="n"/>
      <c r="J23" s="18" t="n"/>
      <c r="K23" s="14" t="n"/>
      <c r="L23" s="14" t="n"/>
      <c r="M23" s="14" t="n"/>
    </row>
    <row r="24">
      <c r="A24" s="14" t="n"/>
      <c r="B24" s="14" t="n"/>
      <c r="C24" s="14" t="n"/>
      <c r="D24" s="14" t="n"/>
      <c r="E24" s="15" t="n"/>
      <c r="F24" s="16" t="n"/>
      <c r="G24" s="17">
        <f>IF(F24="","",F24*12)</f>
        <v/>
      </c>
      <c r="H24" s="14" t="n"/>
      <c r="I24" s="14" t="n"/>
      <c r="J24" s="18" t="n"/>
      <c r="K24" s="14" t="n"/>
      <c r="L24" s="14" t="n"/>
      <c r="M24" s="14" t="n"/>
    </row>
    <row r="25">
      <c r="A25" s="14" t="n"/>
      <c r="B25" s="14" t="n"/>
      <c r="C25" s="14" t="n"/>
      <c r="D25" s="14" t="n"/>
      <c r="E25" s="15" t="n"/>
      <c r="F25" s="16" t="n"/>
      <c r="G25" s="17">
        <f>IF(F25="","",F25*12)</f>
        <v/>
      </c>
      <c r="H25" s="14" t="n"/>
      <c r="I25" s="14" t="n"/>
      <c r="J25" s="18" t="n"/>
      <c r="K25" s="14" t="n"/>
      <c r="L25" s="14" t="n"/>
      <c r="M25" s="14" t="n"/>
    </row>
    <row r="26">
      <c r="A26" s="14" t="n"/>
      <c r="B26" s="14" t="n"/>
      <c r="C26" s="14" t="n"/>
      <c r="D26" s="14" t="n"/>
      <c r="E26" s="15" t="n"/>
      <c r="F26" s="16" t="n"/>
      <c r="G26" s="17">
        <f>IF(F26="","",F26*12)</f>
        <v/>
      </c>
      <c r="H26" s="14" t="n"/>
      <c r="I26" s="14" t="n"/>
      <c r="J26" s="18" t="n"/>
      <c r="K26" s="14" t="n"/>
      <c r="L26" s="14" t="n"/>
      <c r="M26" s="14" t="n"/>
    </row>
    <row r="27">
      <c r="A27" s="14" t="n"/>
      <c r="B27" s="14" t="n"/>
      <c r="C27" s="14" t="n"/>
      <c r="D27" s="14" t="n"/>
      <c r="E27" s="15" t="n"/>
      <c r="F27" s="16" t="n"/>
      <c r="G27" s="17">
        <f>IF(F27="","",F27*12)</f>
        <v/>
      </c>
      <c r="H27" s="14" t="n"/>
      <c r="I27" s="14" t="n"/>
      <c r="J27" s="18" t="n"/>
      <c r="K27" s="14" t="n"/>
      <c r="L27" s="14" t="n"/>
      <c r="M27" s="14" t="n"/>
    </row>
    <row r="28">
      <c r="A28" s="14" t="n"/>
      <c r="B28" s="14" t="n"/>
      <c r="C28" s="14" t="n"/>
      <c r="D28" s="14" t="n"/>
      <c r="E28" s="15" t="n"/>
      <c r="F28" s="16" t="n"/>
      <c r="G28" s="17">
        <f>IF(F28="","",F28*12)</f>
        <v/>
      </c>
      <c r="H28" s="14" t="n"/>
      <c r="I28" s="14" t="n"/>
      <c r="J28" s="18" t="n"/>
      <c r="K28" s="14" t="n"/>
      <c r="L28" s="14" t="n"/>
      <c r="M28" s="14" t="n"/>
    </row>
    <row r="29">
      <c r="A29" s="14" t="n"/>
      <c r="B29" s="14" t="n"/>
      <c r="C29" s="14" t="n"/>
      <c r="D29" s="14" t="n"/>
      <c r="E29" s="15" t="n"/>
      <c r="F29" s="16" t="n"/>
      <c r="G29" s="17">
        <f>IF(F29="","",F29*12)</f>
        <v/>
      </c>
      <c r="H29" s="14" t="n"/>
      <c r="I29" s="14" t="n"/>
      <c r="J29" s="18" t="n"/>
      <c r="K29" s="14" t="n"/>
      <c r="L29" s="14" t="n"/>
      <c r="M29" s="14" t="n"/>
    </row>
    <row r="30">
      <c r="A30" s="14" t="n"/>
      <c r="B30" s="14" t="n"/>
      <c r="C30" s="14" t="n"/>
      <c r="D30" s="14" t="n"/>
      <c r="E30" s="15" t="n"/>
      <c r="F30" s="16" t="n"/>
      <c r="G30" s="17">
        <f>IF(F30="","",F30*12)</f>
        <v/>
      </c>
      <c r="H30" s="14" t="n"/>
      <c r="I30" s="14" t="n"/>
      <c r="J30" s="18" t="n"/>
      <c r="K30" s="14" t="n"/>
      <c r="L30" s="14" t="n"/>
      <c r="M30" s="14" t="n"/>
    </row>
    <row r="31">
      <c r="A31" s="14" t="n"/>
      <c r="B31" s="14" t="n"/>
      <c r="C31" s="14" t="n"/>
      <c r="D31" s="14" t="n"/>
      <c r="E31" s="15" t="n"/>
      <c r="F31" s="16" t="n"/>
      <c r="G31" s="17">
        <f>IF(F31="","",F31*12)</f>
        <v/>
      </c>
      <c r="H31" s="14" t="n"/>
      <c r="I31" s="14" t="n"/>
      <c r="J31" s="18" t="n"/>
      <c r="K31" s="14" t="n"/>
      <c r="L31" s="14" t="n"/>
      <c r="M31" s="14" t="n"/>
    </row>
    <row r="32">
      <c r="A32" s="14" t="n"/>
      <c r="B32" s="14" t="n"/>
      <c r="C32" s="14" t="n"/>
      <c r="D32" s="14" t="n"/>
      <c r="E32" s="15" t="n"/>
      <c r="F32" s="16" t="n"/>
      <c r="G32" s="17">
        <f>IF(F32="","",F32*12)</f>
        <v/>
      </c>
      <c r="H32" s="14" t="n"/>
      <c r="I32" s="14" t="n"/>
      <c r="J32" s="18" t="n"/>
      <c r="K32" s="14" t="n"/>
      <c r="L32" s="14" t="n"/>
      <c r="M32" s="14" t="n"/>
    </row>
    <row r="33">
      <c r="A33" s="14" t="n"/>
      <c r="B33" s="14" t="n"/>
      <c r="C33" s="14" t="n"/>
      <c r="D33" s="14" t="n"/>
      <c r="E33" s="15" t="n"/>
      <c r="F33" s="16" t="n"/>
      <c r="G33" s="17">
        <f>IF(F33="","",F33*12)</f>
        <v/>
      </c>
      <c r="H33" s="14" t="n"/>
      <c r="I33" s="14" t="n"/>
      <c r="J33" s="18" t="n"/>
      <c r="K33" s="14" t="n"/>
      <c r="L33" s="14" t="n"/>
      <c r="M33" s="14" t="n"/>
    </row>
    <row r="34">
      <c r="A34" s="14" t="n"/>
      <c r="B34" s="14" t="n"/>
      <c r="C34" s="14" t="n"/>
      <c r="D34" s="14" t="n"/>
      <c r="E34" s="15" t="n"/>
      <c r="F34" s="16" t="n"/>
      <c r="G34" s="17">
        <f>IF(F34="","",F34*12)</f>
        <v/>
      </c>
      <c r="H34" s="14" t="n"/>
      <c r="I34" s="14" t="n"/>
      <c r="J34" s="18" t="n"/>
      <c r="K34" s="14" t="n"/>
      <c r="L34" s="14" t="n"/>
      <c r="M34" s="14" t="n"/>
    </row>
    <row r="35">
      <c r="A35" s="14" t="n"/>
      <c r="B35" s="14" t="n"/>
      <c r="C35" s="14" t="n"/>
      <c r="D35" s="14" t="n"/>
      <c r="E35" s="15" t="n"/>
      <c r="F35" s="16" t="n"/>
      <c r="G35" s="17">
        <f>IF(F35="","",F35*12)</f>
        <v/>
      </c>
      <c r="H35" s="14" t="n"/>
      <c r="I35" s="14" t="n"/>
      <c r="J35" s="18" t="n"/>
      <c r="K35" s="14" t="n"/>
      <c r="L35" s="14" t="n"/>
      <c r="M35" s="14" t="n"/>
    </row>
    <row r="36">
      <c r="A36" s="14" t="n"/>
      <c r="B36" s="14" t="n"/>
      <c r="C36" s="14" t="n"/>
      <c r="D36" s="14" t="n"/>
      <c r="E36" s="15" t="n"/>
      <c r="F36" s="16" t="n"/>
      <c r="G36" s="17">
        <f>IF(F36="","",F36*12)</f>
        <v/>
      </c>
      <c r="H36" s="14" t="n"/>
      <c r="I36" s="14" t="n"/>
      <c r="J36" s="18" t="n"/>
      <c r="K36" s="14" t="n"/>
      <c r="L36" s="14" t="n"/>
      <c r="M36" s="14" t="n"/>
    </row>
    <row r="37">
      <c r="A37" s="14" t="n"/>
      <c r="B37" s="14" t="n"/>
      <c r="C37" s="14" t="n"/>
      <c r="D37" s="14" t="n"/>
      <c r="E37" s="15" t="n"/>
      <c r="F37" s="16" t="n"/>
      <c r="G37" s="17">
        <f>IF(F37="","",F37*12)</f>
        <v/>
      </c>
      <c r="H37" s="14" t="n"/>
      <c r="I37" s="14" t="n"/>
      <c r="J37" s="18" t="n"/>
      <c r="K37" s="14" t="n"/>
      <c r="L37" s="14" t="n"/>
      <c r="M37" s="14" t="n"/>
    </row>
    <row r="38">
      <c r="A38" s="14" t="n"/>
      <c r="B38" s="14" t="n"/>
      <c r="C38" s="14" t="n"/>
      <c r="D38" s="14" t="n"/>
      <c r="E38" s="15" t="n"/>
      <c r="F38" s="16" t="n"/>
      <c r="G38" s="17">
        <f>IF(F38="","",F38*12)</f>
        <v/>
      </c>
      <c r="H38" s="14" t="n"/>
      <c r="I38" s="14" t="n"/>
      <c r="J38" s="18" t="n"/>
      <c r="K38" s="14" t="n"/>
      <c r="L38" s="14" t="n"/>
      <c r="M38" s="14" t="n"/>
    </row>
    <row r="39">
      <c r="A39" s="14" t="n"/>
      <c r="B39" s="14" t="n"/>
      <c r="C39" s="14" t="n"/>
      <c r="D39" s="14" t="n"/>
      <c r="E39" s="15" t="n"/>
      <c r="F39" s="16" t="n"/>
      <c r="G39" s="17">
        <f>IF(F39="","",F39*12)</f>
        <v/>
      </c>
      <c r="H39" s="14" t="n"/>
      <c r="I39" s="14" t="n"/>
      <c r="J39" s="18" t="n"/>
      <c r="K39" s="14" t="n"/>
      <c r="L39" s="14" t="n"/>
      <c r="M39" s="14" t="n"/>
    </row>
    <row r="40">
      <c r="A40" s="14" t="n"/>
      <c r="B40" s="14" t="n"/>
      <c r="C40" s="14" t="n"/>
      <c r="D40" s="14" t="n"/>
      <c r="E40" s="15" t="n"/>
      <c r="F40" s="16" t="n"/>
      <c r="G40" s="17">
        <f>IF(F40="","",F40*12)</f>
        <v/>
      </c>
      <c r="H40" s="14" t="n"/>
      <c r="I40" s="14" t="n"/>
      <c r="J40" s="18" t="n"/>
      <c r="K40" s="14" t="n"/>
      <c r="L40" s="14" t="n"/>
      <c r="M40" s="14" t="n"/>
    </row>
    <row r="41">
      <c r="A41" s="14" t="n"/>
      <c r="B41" s="14" t="n"/>
      <c r="C41" s="14" t="n"/>
      <c r="D41" s="14" t="n"/>
      <c r="E41" s="15" t="n"/>
      <c r="F41" s="16" t="n"/>
      <c r="G41" s="17">
        <f>IF(F41="","",F41*12)</f>
        <v/>
      </c>
      <c r="H41" s="14" t="n"/>
      <c r="I41" s="14" t="n"/>
      <c r="J41" s="18" t="n"/>
      <c r="K41" s="14" t="n"/>
      <c r="L41" s="14" t="n"/>
      <c r="M41" s="14" t="n"/>
    </row>
    <row r="42">
      <c r="A42" s="14" t="n"/>
      <c r="B42" s="14" t="n"/>
      <c r="C42" s="14" t="n"/>
      <c r="D42" s="14" t="n"/>
      <c r="E42" s="15" t="n"/>
      <c r="F42" s="16" t="n"/>
      <c r="G42" s="17">
        <f>IF(F42="","",F42*12)</f>
        <v/>
      </c>
      <c r="H42" s="14" t="n"/>
      <c r="I42" s="14" t="n"/>
      <c r="J42" s="18" t="n"/>
      <c r="K42" s="14" t="n"/>
      <c r="L42" s="14" t="n"/>
      <c r="M42" s="14" t="n"/>
    </row>
    <row r="43">
      <c r="A43" s="14" t="n"/>
      <c r="B43" s="14" t="n"/>
      <c r="C43" s="14" t="n"/>
      <c r="D43" s="14" t="n"/>
      <c r="E43" s="15" t="n"/>
      <c r="F43" s="16" t="n"/>
      <c r="G43" s="17">
        <f>IF(F43="","",F43*12)</f>
        <v/>
      </c>
      <c r="H43" s="14" t="n"/>
      <c r="I43" s="14" t="n"/>
      <c r="J43" s="18" t="n"/>
      <c r="K43" s="14" t="n"/>
      <c r="L43" s="14" t="n"/>
      <c r="M43" s="14" t="n"/>
    </row>
    <row r="44">
      <c r="A44" s="14" t="n"/>
      <c r="B44" s="14" t="n"/>
      <c r="C44" s="14" t="n"/>
      <c r="D44" s="14" t="n"/>
      <c r="E44" s="15" t="n"/>
      <c r="F44" s="16" t="n"/>
      <c r="G44" s="17">
        <f>IF(F44="","",F44*12)</f>
        <v/>
      </c>
      <c r="H44" s="14" t="n"/>
      <c r="I44" s="14" t="n"/>
      <c r="J44" s="18" t="n"/>
      <c r="K44" s="14" t="n"/>
      <c r="L44" s="14" t="n"/>
      <c r="M44" s="14" t="n"/>
    </row>
    <row r="45">
      <c r="A45" s="14" t="n"/>
      <c r="B45" s="14" t="n"/>
      <c r="C45" s="14" t="n"/>
      <c r="D45" s="14" t="n"/>
      <c r="E45" s="15" t="n"/>
      <c r="F45" s="16" t="n"/>
      <c r="G45" s="17">
        <f>IF(F45="","",F45*12)</f>
        <v/>
      </c>
      <c r="H45" s="14" t="n"/>
      <c r="I45" s="14" t="n"/>
      <c r="J45" s="18" t="n"/>
      <c r="K45" s="14" t="n"/>
      <c r="L45" s="14" t="n"/>
      <c r="M45" s="14" t="n"/>
    </row>
    <row r="46">
      <c r="A46" s="14" t="n"/>
      <c r="B46" s="14" t="n"/>
      <c r="C46" s="14" t="n"/>
      <c r="D46" s="14" t="n"/>
      <c r="E46" s="15" t="n"/>
      <c r="F46" s="16" t="n"/>
      <c r="G46" s="17">
        <f>IF(F46="","",F46*12)</f>
        <v/>
      </c>
      <c r="H46" s="14" t="n"/>
      <c r="I46" s="14" t="n"/>
      <c r="J46" s="18" t="n"/>
      <c r="K46" s="14" t="n"/>
      <c r="L46" s="14" t="n"/>
      <c r="M46" s="14" t="n"/>
    </row>
    <row r="47">
      <c r="A47" s="14" t="n"/>
      <c r="B47" s="14" t="n"/>
      <c r="C47" s="14" t="n"/>
      <c r="D47" s="14" t="n"/>
      <c r="E47" s="15" t="n"/>
      <c r="F47" s="16" t="n"/>
      <c r="G47" s="17">
        <f>IF(F47="","",F47*12)</f>
        <v/>
      </c>
      <c r="H47" s="14" t="n"/>
      <c r="I47" s="14" t="n"/>
      <c r="J47" s="18" t="n"/>
      <c r="K47" s="14" t="n"/>
      <c r="L47" s="14" t="n"/>
      <c r="M47" s="14" t="n"/>
    </row>
    <row r="48">
      <c r="A48" s="14" t="n"/>
      <c r="B48" s="14" t="n"/>
      <c r="C48" s="14" t="n"/>
      <c r="D48" s="14" t="n"/>
      <c r="E48" s="15" t="n"/>
      <c r="F48" s="16" t="n"/>
      <c r="G48" s="17">
        <f>IF(F48="","",F48*12)</f>
        <v/>
      </c>
      <c r="H48" s="14" t="n"/>
      <c r="I48" s="14" t="n"/>
      <c r="J48" s="18" t="n"/>
      <c r="K48" s="14" t="n"/>
      <c r="L48" s="14" t="n"/>
      <c r="M48" s="14" t="n"/>
    </row>
  </sheetData>
  <conditionalFormatting sqref="I9:I48">
    <cfRule type="cellIs" priority="1" operator="equal" dxfId="0">
      <formula>"Sí"</formula>
    </cfRule>
  </conditionalFormatting>
  <dataValidations count="3">
    <dataValidation sqref="C9:C48" showDropDown="0" showInputMessage="0" showErrorMessage="1" allowBlank="1" errorTitle="Valor no válido" error="Elige una opción de la lista." type="list">
      <formula1>"Marketing,Ventas,Atención al cliente,Gestión,Varias áreas"</formula1>
    </dataValidation>
    <dataValidation sqref="I9:I48" showDropDown="0" showInputMessage="0" showErrorMessage="1" allowBlank="1" errorTitle="Valor no válido" error="Elige una opción de la lista." type="list">
      <formula1>"Sí,No"</formula1>
    </dataValidation>
    <dataValidation sqref="L9:L48" showDropDown="0" showInputMessage="0" showErrorMessage="1" allowBlank="1" errorTitle="Valor no válido" error="Elige una opción de la lista." type="list">
      <formula1>"Mantener,Conectar,Sustituir,Eliminar,Revisar"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CAPÍTULO 11 · MATERIAL PRÁCTICO</t>
        </is>
      </c>
      <c r="B1" s="2" t="n"/>
      <c r="C1" s="2" t="n"/>
      <c r="D1" s="2" t="n"/>
      <c r="E1" s="2" t="n"/>
      <c r="F1" s="2" t="n"/>
    </row>
    <row r="2" ht="24" customHeight="1">
      <c r="A2" s="3" t="inlineStr">
        <is>
          <t>Comparador de plataformas</t>
        </is>
      </c>
    </row>
    <row r="3">
      <c r="A3" s="4" t="inlineStr">
        <is>
          <t>Siete criterios ponderados y el precio total del primer año</t>
        </is>
      </c>
    </row>
    <row r="5" ht="30" customHeight="1">
      <c r="A5" s="13" t="inlineStr">
        <is>
          <t>Criterio</t>
        </is>
      </c>
      <c r="B5" s="13" t="inlineStr">
        <is>
          <t>Qué mirar</t>
        </is>
      </c>
      <c r="C5" s="13" t="inlineStr">
        <is>
          <t>Peso (1-5)</t>
        </is>
      </c>
      <c r="D5" s="13" t="inlineStr">
        <is>
          <t>Plataforma A</t>
        </is>
      </c>
      <c r="E5" s="13" t="inlineStr">
        <is>
          <t>Plataforma B</t>
        </is>
      </c>
      <c r="F5" s="13" t="inlineStr">
        <is>
          <t>Plataforma C</t>
        </is>
      </c>
    </row>
    <row r="6">
      <c r="A6" s="19" t="inlineStr">
        <is>
          <t>Nombre de la plataforma</t>
        </is>
      </c>
      <c r="B6" s="20" t="inlineStr">
        <is>
          <t>Escribe el nombre en las columnas de la derecha</t>
        </is>
      </c>
      <c r="D6" s="21" t="n"/>
      <c r="E6" s="21" t="n"/>
      <c r="F6" s="21" t="n"/>
    </row>
    <row r="7" ht="30" customHeight="1">
      <c r="A7" s="19" t="inlineStr">
        <is>
          <t>Funcionalidades necesarias</t>
        </is>
      </c>
      <c r="B7" s="22" t="inlineStr">
        <is>
          <t>Parte de los flujos que diseñaste en el capítulo 2. Lo que no vayas a usar en un año no cuenta.</t>
        </is>
      </c>
      <c r="C7" s="15" t="n">
        <v>3</v>
      </c>
      <c r="D7" s="15" t="n"/>
      <c r="E7" s="15" t="n"/>
      <c r="F7" s="15" t="n"/>
    </row>
    <row r="8" ht="30" customHeight="1">
      <c r="A8" s="19" t="inlineStr">
        <is>
          <t>Facilidad de uso</t>
        </is>
      </c>
      <c r="B8" s="22" t="inlineStr">
        <is>
          <t>Que la pruebe quien la tendrá que usar a diario. Si no la entiende en una tarde, no la usará.</t>
        </is>
      </c>
      <c r="C8" s="15" t="n">
        <v>3</v>
      </c>
      <c r="D8" s="15" t="n"/>
      <c r="E8" s="15" t="n"/>
      <c r="F8" s="15" t="n"/>
    </row>
    <row r="9" ht="30" customHeight="1">
      <c r="A9" s="19" t="inlineStr">
        <is>
          <t>Integraciones</t>
        </is>
      </c>
      <c r="B9" s="22" t="inlineStr">
        <is>
          <t>CRM, tienda online, email, WhatsApp, facturación.</t>
        </is>
      </c>
      <c r="C9" s="15" t="n">
        <v>3</v>
      </c>
      <c r="D9" s="15" t="n"/>
      <c r="E9" s="15" t="n"/>
      <c r="F9" s="15" t="n"/>
    </row>
    <row r="10" ht="30" customHeight="1">
      <c r="A10" s="19" t="inlineStr">
        <is>
          <t>Escalabilidad</t>
        </is>
      </c>
      <c r="B10" s="22" t="inlineStr">
        <is>
          <t>Más contactos, usuarios y volumen sin cambiar de herramienta.</t>
        </is>
      </c>
      <c r="C10" s="15" t="n">
        <v>3</v>
      </c>
      <c r="D10" s="15" t="n"/>
      <c r="E10" s="15" t="n"/>
      <c r="F10" s="15" t="n"/>
    </row>
    <row r="11" ht="30" customHeight="1">
      <c r="A11" s="19" t="inlineStr">
        <is>
          <t>Soporte y formación</t>
        </is>
      </c>
      <c r="B11" s="22" t="inlineStr">
        <is>
          <t>Atención en tu idioma, documentación clara y cursos.</t>
        </is>
      </c>
      <c r="C11" s="15" t="n">
        <v>3</v>
      </c>
      <c r="D11" s="15" t="n"/>
      <c r="E11" s="15" t="n"/>
      <c r="F11" s="15" t="n"/>
    </row>
    <row r="12" ht="30" customHeight="1">
      <c r="A12" s="19" t="inlineStr">
        <is>
          <t>Precio total</t>
        </is>
      </c>
      <c r="B12" s="22" t="inlineStr">
        <is>
          <t>Cuota, implantación, usuarios adicionales, complementos y tiempo de tu equipo.</t>
        </is>
      </c>
      <c r="C12" s="15" t="n">
        <v>3</v>
      </c>
      <c r="D12" s="15" t="n"/>
      <c r="E12" s="15" t="n"/>
      <c r="F12" s="15" t="n"/>
    </row>
    <row r="13" ht="30" customHeight="1">
      <c r="A13" s="19" t="inlineStr">
        <is>
          <t>Dónde se guardan los datos</t>
        </is>
      </c>
      <c r="B13" s="22" t="inlineStr">
        <is>
          <t>Si trabajas en Europa: ubicación de los datos y garantías como encargado del tratamiento (capítulo 13).</t>
        </is>
      </c>
      <c r="C13" s="15" t="n">
        <v>2</v>
      </c>
      <c r="D13" s="15" t="n"/>
      <c r="E13" s="15" t="n"/>
      <c r="F13" s="15" t="n"/>
    </row>
    <row r="14">
      <c r="A14" s="10" t="inlineStr">
        <is>
          <t>Nota ponderada (sobre 5)</t>
        </is>
      </c>
      <c r="B14" s="23" t="inlineStr">
        <is>
          <t>Suma de peso × puntuación ÷ suma de pesos</t>
        </is>
      </c>
      <c r="C14" s="24" t="n"/>
      <c r="D14" s="25">
        <f>IF(COUNT(D7:D13)&lt;7,"",SUMPRODUCT($C$7:$C$13,D7:D13)/SUM($C$7:$C$13))</f>
        <v/>
      </c>
      <c r="E14" s="25">
        <f>IF(COUNT(E7:E13)&lt;7,"",SUMPRODUCT($C$7:$C$13,E7:E13)/SUM($C$7:$C$13))</f>
        <v/>
      </c>
      <c r="F14" s="25">
        <f>IF(COUNT(F7:F13)&lt;7,"",SUMPRODUCT($C$7:$C$13,F7:F13)/SUM($C$7:$C$13))</f>
        <v/>
      </c>
    </row>
    <row r="15">
      <c r="A15" s="19" t="inlineStr">
        <is>
          <t>La mejor valorada</t>
        </is>
      </c>
      <c r="D15" s="26">
        <f>IF(COUNT(D14:F14)=0,"",INDEX(D6:F6,MATCH(MAX(D14:F14),D14:F14,0)))</f>
        <v/>
      </c>
    </row>
    <row r="18" ht="30" customHeight="1">
      <c r="A18" s="13" t="inlineStr">
        <is>
          <t>Precio total del primer año</t>
        </is>
      </c>
      <c r="B18" s="13" t="inlineStr">
        <is>
          <t>Cómo se calcula</t>
        </is>
      </c>
      <c r="C18" s="13" t="inlineStr"/>
      <c r="D18" s="13" t="inlineStr">
        <is>
          <t>Plataforma A</t>
        </is>
      </c>
      <c r="E18" s="13" t="inlineStr">
        <is>
          <t>Plataforma B</t>
        </is>
      </c>
      <c r="F18" s="13" t="inlineStr">
        <is>
          <t>Plataforma C</t>
        </is>
      </c>
    </row>
    <row r="19">
      <c r="A19" s="19" t="inlineStr">
        <is>
          <t>Cuota mensual (€)</t>
        </is>
      </c>
      <c r="B19" s="22" t="inlineStr">
        <is>
          <t>Precio por mes con los usuarios que necesitas</t>
        </is>
      </c>
      <c r="C19" s="27" t="n"/>
      <c r="D19" s="28" t="n"/>
      <c r="E19" s="28" t="n"/>
      <c r="F19" s="28" t="n"/>
    </row>
    <row r="20">
      <c r="A20" s="19" t="inlineStr">
        <is>
          <t>Implantación (€)</t>
        </is>
      </c>
      <c r="B20" s="22" t="inlineStr">
        <is>
          <t>Configuración, migración de datos y puesta en marcha</t>
        </is>
      </c>
      <c r="C20" s="27" t="n"/>
      <c r="D20" s="28" t="n"/>
      <c r="E20" s="28" t="n"/>
      <c r="F20" s="28" t="n"/>
    </row>
    <row r="21">
      <c r="A21" s="19" t="inlineStr">
        <is>
          <t>Usuarios adicionales al año (€)</t>
        </is>
      </c>
      <c r="B21" s="22" t="inlineStr">
        <is>
          <t>Los que prevés añadir en los próximos doce meses</t>
        </is>
      </c>
      <c r="C21" s="27" t="n"/>
      <c r="D21" s="28" t="n"/>
      <c r="E21" s="28" t="n"/>
      <c r="F21" s="28" t="n"/>
    </row>
    <row r="22">
      <c r="A22" s="19" t="inlineStr">
        <is>
          <t>Complementos al año (€)</t>
        </is>
      </c>
      <c r="B22" s="22" t="inlineStr">
        <is>
          <t>Módulos, integraciones o conectores de pago</t>
        </is>
      </c>
      <c r="C22" s="27" t="n"/>
      <c r="D22" s="28" t="n"/>
      <c r="E22" s="28" t="n"/>
      <c r="F22" s="28" t="n"/>
    </row>
    <row r="23">
      <c r="A23" s="19" t="inlineStr">
        <is>
          <t>Horas de tu equipo</t>
        </is>
      </c>
      <c r="B23" s="22" t="inlineStr">
        <is>
          <t>Horas dedicadas a implantarla y aprender a usarla</t>
        </is>
      </c>
      <c r="C23" s="27" t="n"/>
      <c r="D23" s="29" t="n"/>
      <c r="E23" s="29" t="n"/>
      <c r="F23" s="29" t="n"/>
    </row>
    <row r="24">
      <c r="A24" s="19" t="inlineStr">
        <is>
          <t>Coste de una hora de trabajo (€)</t>
        </is>
      </c>
      <c r="B24" s="22" t="inlineStr">
        <is>
          <t>Sueldo bruto más cotizaciones, dividido entre horas anuales</t>
        </is>
      </c>
      <c r="C24" s="27" t="n"/>
      <c r="D24" s="28" t="n"/>
      <c r="E24" s="28" t="n"/>
      <c r="F24" s="28" t="n"/>
    </row>
    <row r="25">
      <c r="A25" s="10" t="inlineStr">
        <is>
          <t>Coste total del primer año (€)</t>
        </is>
      </c>
      <c r="B25" s="23" t="inlineStr">
        <is>
          <t>Cuota × 12 + implantación + usuarios + complementos + horas × coste hora</t>
        </is>
      </c>
      <c r="C25" s="27" t="n"/>
      <c r="D25" s="30">
        <f>IF(COUNT(D19:D24)=0,"",N(D19)*12+N(D20)+N(D21)+N(D22)+N(D23)*N(D24))</f>
        <v/>
      </c>
      <c r="E25" s="30">
        <f>IF(COUNT(E19:E24)=0,"",N(E19)*12+N(E20)+N(E21)+N(E22)+N(E23)*N(E24))</f>
        <v/>
      </c>
      <c r="F25" s="30">
        <f>IF(COUNT(F19:F24)=0,"",N(F19)*12+N(F20)+N(F21)+N(F22)+N(F23)*N(F24))</f>
        <v/>
      </c>
    </row>
  </sheetData>
  <mergeCells count="7">
    <mergeCell ref="B21:C21"/>
    <mergeCell ref="B24:C24"/>
    <mergeCell ref="B25:C25"/>
    <mergeCell ref="B19:C19"/>
    <mergeCell ref="B20:C20"/>
    <mergeCell ref="B23:C23"/>
    <mergeCell ref="B22:C22"/>
  </mergeCells>
  <dataValidations count="1">
    <dataValidation sqref="C7:F13" showDropDown="0" showInputMessage="0" showErrorMessage="1" allowBlank="1" error="Escribe un número entre 1 y 5.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CAPÍTULO 11 · MATERIAL PRÁCTICO</t>
        </is>
      </c>
      <c r="B1" s="2" t="n"/>
      <c r="C1" s="2" t="n"/>
      <c r="D1" s="2" t="n"/>
      <c r="E1" s="2" t="n"/>
      <c r="F1" s="2" t="n"/>
    </row>
    <row r="2" ht="24" customHeight="1">
      <c r="A2" s="3" t="inlineStr">
        <is>
          <t>Calculadora de retorno de una automatización</t>
        </is>
      </c>
    </row>
    <row r="3">
      <c r="A3" s="4" t="inlineStr">
        <is>
          <t>Tres escenarios: decide con el prudente</t>
        </is>
      </c>
    </row>
    <row r="4">
      <c r="A4" s="20" t="inlineStr">
        <is>
          <t>Vienen rellenos los valores del ejemplo del capítulo 11, que son ilustrativos: sustitúyelos por los tuyos.</t>
        </is>
      </c>
    </row>
    <row r="6" ht="30" customHeight="1">
      <c r="A6" s="13" t="inlineStr">
        <is>
          <t>Datos de partida</t>
        </is>
      </c>
      <c r="B6" s="13" t="inlineStr">
        <is>
          <t>Valor</t>
        </is>
      </c>
      <c r="C6" s="13" t="inlineStr"/>
      <c r="D6" s="13" t="inlineStr"/>
      <c r="E6" s="13" t="inlineStr">
        <is>
          <t>De dónde sale</t>
        </is>
      </c>
    </row>
    <row r="7">
      <c r="A7" s="19" t="inlineStr">
        <is>
          <t>Coste de una hora de trabajo del equipo (€)</t>
        </is>
      </c>
      <c r="B7" s="16" t="n">
        <v>25</v>
      </c>
      <c r="E7" s="20" t="inlineStr">
        <is>
          <t>Sueldo bruto más cotizaciones, dividido entre las horas anuales</t>
        </is>
      </c>
    </row>
    <row r="8">
      <c r="A8" s="19" t="inlineStr">
        <is>
          <t>Cuota de la herramienta al mes (€)</t>
        </is>
      </c>
      <c r="B8" s="28" t="n">
        <v>150</v>
      </c>
      <c r="E8" s="20" t="inlineStr">
        <is>
          <t>Precio por usuario y mes por número de usuarios</t>
        </is>
      </c>
    </row>
    <row r="9">
      <c r="A9" s="19" t="inlineStr">
        <is>
          <t>Usuarios adicionales y complementos al año (€)</t>
        </is>
      </c>
      <c r="B9" s="28" t="n">
        <v>0</v>
      </c>
      <c r="E9" s="20" t="inlineStr">
        <is>
          <t>Módulos, conectores e integraciones de pago</t>
        </is>
      </c>
    </row>
    <row r="10">
      <c r="A10" s="19" t="inlineStr">
        <is>
          <t>Implantación (€)</t>
        </is>
      </c>
      <c r="B10" s="28" t="n">
        <v>2500</v>
      </c>
      <c r="E10" s="20" t="inlineStr">
        <is>
          <t>Configuración, migración de datos y conexiones; se paga una vez</t>
        </is>
      </c>
    </row>
    <row r="11">
      <c r="A11" s="19" t="inlineStr">
        <is>
          <t>Horas del equipo para ponerlo en marcha</t>
        </is>
      </c>
      <c r="B11" s="29" t="n">
        <v>40</v>
      </c>
      <c r="E11" s="20" t="inlineStr">
        <is>
          <t>Taller de diseño, pruebas y formación</t>
        </is>
      </c>
    </row>
    <row r="12">
      <c r="A12" s="19" t="inlineStr">
        <is>
          <t>Horas de mantenimiento al mes</t>
        </is>
      </c>
      <c r="B12" s="18" t="n">
        <v>2</v>
      </c>
      <c r="E12" s="20" t="inlineStr">
        <is>
          <t>Revisar y mejorar los flujos cada mes</t>
        </is>
      </c>
    </row>
    <row r="13">
      <c r="A13" s="19" t="inlineStr">
        <is>
          <t>Horas liberadas al año</t>
        </is>
      </c>
      <c r="B13" s="29" t="n">
        <v>138</v>
      </c>
      <c r="E13" s="20" t="inlineStr">
        <is>
          <t>Hoja de coste del trabajo manual del capítulo 1</t>
        </is>
      </c>
    </row>
    <row r="14">
      <c r="A14" s="19" t="inlineStr">
        <is>
          <t>Oportunidades o presupuestos al año</t>
        </is>
      </c>
      <c r="B14" s="29" t="n">
        <v>276</v>
      </c>
      <c r="E14" s="20" t="inlineStr">
        <is>
          <t>Los que pasan por el flujo que automatizas</t>
        </is>
      </c>
    </row>
    <row r="15">
      <c r="A15" s="19" t="inlineStr">
        <is>
          <t>Margen por venta (€)</t>
        </is>
      </c>
      <c r="B15" s="28" t="n">
        <v>600</v>
      </c>
      <c r="E15" s="20" t="inlineStr">
        <is>
          <t>Lo que te queda de cada venta, no lo que facturas</t>
        </is>
      </c>
    </row>
    <row r="16">
      <c r="A16" s="19" t="inlineStr">
        <is>
          <t>Margen anual por cliente (€)</t>
        </is>
      </c>
      <c r="B16" s="28" t="n">
        <v>0</v>
      </c>
      <c r="E16" s="20" t="inlineStr">
        <is>
          <t>Capítulo 12; solo si el flujo mejora la posventa</t>
        </is>
      </c>
    </row>
    <row r="19" ht="30" customHeight="1">
      <c r="A19" s="13" t="inlineStr">
        <is>
          <t>Supuestos de cada escenario</t>
        </is>
      </c>
      <c r="B19" s="13" t="inlineStr">
        <is>
          <t>Prudente</t>
        </is>
      </c>
      <c r="C19" s="13" t="inlineStr">
        <is>
          <t>Probable</t>
        </is>
      </c>
      <c r="D19" s="13" t="inlineStr">
        <is>
          <t>Optimista</t>
        </is>
      </c>
      <c r="E19" s="13" t="inlineStr">
        <is>
          <t>Qué significa</t>
        </is>
      </c>
    </row>
    <row r="20">
      <c r="A20" s="19" t="inlineStr">
        <is>
          <t>Parte de las horas liberadas que se aprovecha (%)</t>
        </is>
      </c>
      <c r="B20" s="31" t="n">
        <v>0.5</v>
      </c>
      <c r="C20" s="31" t="n">
        <v>1</v>
      </c>
      <c r="D20" s="31" t="n">
        <v>1</v>
      </c>
      <c r="E20" s="20" t="inlineStr">
        <is>
          <t>Solo cuenta el tiempo que se dedica a algo que aporta</t>
        </is>
      </c>
    </row>
    <row r="21">
      <c r="A21" s="19" t="inlineStr">
        <is>
          <t>Subida de la tasa de cierre (puntos)</t>
        </is>
      </c>
      <c r="B21" s="18" t="n">
        <v>1</v>
      </c>
      <c r="C21" s="18" t="n">
        <v>3</v>
      </c>
      <c r="D21" s="18" t="n">
        <v>5</v>
      </c>
      <c r="E21" s="20" t="inlineStr">
        <is>
          <t>Mejora prudente gracias al seguimiento automático</t>
        </is>
      </c>
    </row>
    <row r="22">
      <c r="A22" s="19" t="inlineStr">
        <is>
          <t>Clientes conservados de más al año</t>
        </is>
      </c>
      <c r="B22" s="29" t="n">
        <v>0</v>
      </c>
      <c r="C22" s="29" t="n">
        <v>0</v>
      </c>
      <c r="D22" s="29" t="n">
        <v>0</v>
      </c>
      <c r="E22" s="20" t="inlineStr">
        <is>
          <t>Clientes que hoy se van y que la automatización retiene</t>
        </is>
      </c>
    </row>
    <row r="24" ht="30" customHeight="1">
      <c r="A24" s="13" t="inlineStr">
        <is>
          <t>Resultado</t>
        </is>
      </c>
      <c r="B24" s="13" t="inlineStr">
        <is>
          <t>Prudente</t>
        </is>
      </c>
      <c r="C24" s="13" t="inlineStr">
        <is>
          <t>Probable</t>
        </is>
      </c>
      <c r="D24" s="13" t="inlineStr">
        <is>
          <t>Optimista</t>
        </is>
      </c>
      <c r="E24" s="13" t="inlineStr">
        <is>
          <t>Cómo se calcula</t>
        </is>
      </c>
    </row>
    <row r="25">
      <c r="A25" s="19" t="inlineStr">
        <is>
          <t>Coste del primer año (€)</t>
        </is>
      </c>
      <c r="B25" s="17">
        <f>$B$8*12+$B$9+$B$10+$B$11*$B$7+$B$12*12*$B$7</f>
        <v/>
      </c>
      <c r="C25" s="17">
        <f>$B$8*12+$B$9+$B$10+$B$11*$B$7+$B$12*12*$B$7</f>
        <v/>
      </c>
      <c r="D25" s="17">
        <f>$B$8*12+$B$9+$B$10+$B$11*$B$7+$B$12*12*$B$7</f>
        <v/>
      </c>
      <c r="E25" s="20" t="inlineStr">
        <is>
          <t>Cuota × 12 + complementos + implantación + horas del equipo + mantenimiento</t>
        </is>
      </c>
    </row>
    <row r="26">
      <c r="A26" s="19" t="inlineStr">
        <is>
          <t>Coste de los años siguientes (€)</t>
        </is>
      </c>
      <c r="B26" s="17">
        <f>$B$8*12+$B$9+$B$12*12*$B$7</f>
        <v/>
      </c>
      <c r="C26" s="17">
        <f>$B$8*12+$B$9+$B$12*12*$B$7</f>
        <v/>
      </c>
      <c r="D26" s="17">
        <f>$B$8*12+$B$9+$B$12*12*$B$7</f>
        <v/>
      </c>
      <c r="E26" s="20" t="inlineStr">
        <is>
          <t>Cuota × 12 + complementos + mantenimiento</t>
        </is>
      </c>
    </row>
    <row r="27">
      <c r="A27" s="19" t="inlineStr">
        <is>
          <t>Inversión inicial (€)</t>
        </is>
      </c>
      <c r="B27" s="17">
        <f>$B$10+$B$11*$B$7</f>
        <v/>
      </c>
      <c r="C27" s="17">
        <f>$B$10+$B$11*$B$7</f>
        <v/>
      </c>
      <c r="D27" s="17">
        <f>$B$10+$B$11*$B$7</f>
        <v/>
      </c>
      <c r="E27" s="20" t="inlineStr">
        <is>
          <t>Implantación + horas del equipo para ponerlo en marcha</t>
        </is>
      </c>
    </row>
    <row r="28">
      <c r="A28" s="19" t="inlineStr">
        <is>
          <t>Ganancia por horas liberadas (€)</t>
        </is>
      </c>
      <c r="B28" s="17">
        <f>$B$13*$B$7*B20</f>
        <v/>
      </c>
      <c r="C28" s="17">
        <f>$B$13*$B$7*C20</f>
        <v/>
      </c>
      <c r="D28" s="17">
        <f>$B$13*$B$7*D20</f>
        <v/>
      </c>
      <c r="E28" s="20" t="inlineStr">
        <is>
          <t>Horas liberadas × coste por hora × parte aprovechada</t>
        </is>
      </c>
    </row>
    <row r="29">
      <c r="A29" s="19" t="inlineStr">
        <is>
          <t>Ganancia por ventas recuperadas (€)</t>
        </is>
      </c>
      <c r="B29" s="17">
        <f>$B$14*B21/100*$B$15</f>
        <v/>
      </c>
      <c r="C29" s="17">
        <f>$B$14*C21/100*$B$15</f>
        <v/>
      </c>
      <c r="D29" s="17">
        <f>$B$14*D21/100*$B$15</f>
        <v/>
      </c>
      <c r="E29" s="20" t="inlineStr">
        <is>
          <t>Oportunidades × subida de la tasa de cierre × margen</t>
        </is>
      </c>
    </row>
    <row r="30">
      <c r="A30" s="19" t="inlineStr">
        <is>
          <t>Ganancia por clientes conservados (€)</t>
        </is>
      </c>
      <c r="B30" s="17">
        <f>B22*$B$16</f>
        <v/>
      </c>
      <c r="C30" s="17">
        <f>C22*$B$16</f>
        <v/>
      </c>
      <c r="D30" s="17">
        <f>D22*$B$16</f>
        <v/>
      </c>
      <c r="E30" s="20" t="inlineStr">
        <is>
          <t>Clientes conservados × margen anual por cliente</t>
        </is>
      </c>
    </row>
    <row r="31">
      <c r="A31" s="10" t="inlineStr">
        <is>
          <t>Ganancias al año (€)</t>
        </is>
      </c>
      <c r="B31" s="30">
        <f>SUM(B28:B30)</f>
        <v/>
      </c>
      <c r="C31" s="30">
        <f>SUM(C28:C30)</f>
        <v/>
      </c>
      <c r="D31" s="30">
        <f>SUM(D28:D30)</f>
        <v/>
      </c>
      <c r="E31" s="20" t="inlineStr"/>
    </row>
    <row r="32">
      <c r="A32" s="10" t="inlineStr">
        <is>
          <t>Beneficio del primer año (€)</t>
        </is>
      </c>
      <c r="B32" s="30">
        <f>B31-B25</f>
        <v/>
      </c>
      <c r="C32" s="30">
        <f>C31-C25</f>
        <v/>
      </c>
      <c r="D32" s="30">
        <f>D31-D25</f>
        <v/>
      </c>
      <c r="E32" s="20" t="inlineStr">
        <is>
          <t>Ganancias − coste del primer año</t>
        </is>
      </c>
    </row>
    <row r="33">
      <c r="A33" s="19" t="inlineStr">
        <is>
          <t>Retorno del primer año</t>
        </is>
      </c>
      <c r="B33" s="32">
        <f>IF(B25=0,"",B32/B25)</f>
        <v/>
      </c>
      <c r="C33" s="32">
        <f>IF(C25=0,"",C32/C25)</f>
        <v/>
      </c>
      <c r="D33" s="32">
        <f>IF(D25=0,"",D32/D25)</f>
        <v/>
      </c>
      <c r="E33" s="20" t="inlineStr">
        <is>
          <t>Beneficio del primer año ÷ coste del primer año</t>
        </is>
      </c>
    </row>
    <row r="34">
      <c r="A34" s="19" t="inlineStr">
        <is>
          <t>Beneficio de los años siguientes (€)</t>
        </is>
      </c>
      <c r="B34" s="17">
        <f>B31-B26</f>
        <v/>
      </c>
      <c r="C34" s="17">
        <f>C31-C26</f>
        <v/>
      </c>
      <c r="D34" s="17">
        <f>D31-D26</f>
        <v/>
      </c>
      <c r="E34" s="20" t="inlineStr">
        <is>
          <t>Ganancias − coste de los años siguientes</t>
        </is>
      </c>
    </row>
    <row r="35">
      <c r="A35" s="19" t="inlineStr">
        <is>
          <t>Ganancia neta de cada mes (€)</t>
        </is>
      </c>
      <c r="B35" s="17">
        <f>(B31-B26)/12</f>
        <v/>
      </c>
      <c r="C35" s="17">
        <f>(C31-C26)/12</f>
        <v/>
      </c>
      <c r="D35" s="17">
        <f>(D31-D26)/12</f>
        <v/>
      </c>
      <c r="E35" s="20" t="inlineStr">
        <is>
          <t>(Ganancias − coste de los años siguientes) ÷ 12</t>
        </is>
      </c>
    </row>
    <row r="36">
      <c r="A36" s="10" t="inlineStr">
        <is>
          <t>Plazo de recuperación (meses)</t>
        </is>
      </c>
      <c r="B36" s="33">
        <f>IF(B35&lt;=0,"No se recupera",B27/B35)</f>
        <v/>
      </c>
      <c r="C36" s="33">
        <f>IF(C35&lt;=0,"No se recupera",C27/C35)</f>
        <v/>
      </c>
      <c r="D36" s="33">
        <f>IF(D35&lt;=0,"No se recupera",D27/D35)</f>
        <v/>
      </c>
      <c r="E36" s="20" t="inlineStr">
        <is>
          <t>Inversión inicial ÷ ganancia neta de cada mes</t>
        </is>
      </c>
    </row>
    <row r="38">
      <c r="A38" s="20" t="inlineStr">
        <is>
          <t>Si la inversión solo se recupera en el escenario optimista, no firmes todavía: reduce el alcance o el coste hasta que salga también en el prudente.</t>
        </is>
      </c>
    </row>
  </sheetData>
  <conditionalFormatting sqref="B32:D32">
    <cfRule type="cellIs" priority="1" operator="lessThan" dxfId="1">
      <formula>0</formula>
    </cfRule>
  </conditionalFormatting>
  <conditionalFormatting sqref="B36:D36">
    <cfRule type="cellIs" priority="2" operator="equal" dxfId="1">
      <formula>"No se recupera"</formula>
    </cfRule>
  </conditionalFormatting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2026-10-22T20:02:25Z</dcterms:created>
  <dcterms:modified xmlns:dcterms="http://purl.org/dc/terms/" xmlns:xsi="http://www.w3.org/2001/XMLSchema-instance" xsi:type="dcterms:W3CDTF">2026-10-22T20:02:25Z</dcterms:modified>
</cp:coreProperties>
</file>