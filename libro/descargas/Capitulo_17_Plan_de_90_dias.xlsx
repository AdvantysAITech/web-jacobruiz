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lo" sheetId="1" state="visible" r:id="rId1"/>
    <sheet xmlns:r="http://schemas.openxmlformats.org/officeDocument/2006/relationships" name="Plan de 90 días" sheetId="2" state="visible" r:id="rId2"/>
    <sheet xmlns:r="http://schemas.openxmlformats.org/officeDocument/2006/relationships" name="Hoja de seguimiento" sheetId="3" state="visible" r:id="rId3"/>
    <sheet xmlns:r="http://schemas.openxmlformats.org/officeDocument/2006/relationships" name="Quince pas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8A5E00"/>
      <sz val="8"/>
    </font>
    <font>
      <name val="Arial"/>
      <b val="1"/>
      <color rgb="001F1F1F"/>
      <sz val="16"/>
    </font>
    <font>
      <name val="Arial"/>
      <color rgb="006B6B6B"/>
      <sz val="10"/>
    </font>
    <font>
      <name val="Arial"/>
      <b val="1"/>
      <sz val="11"/>
    </font>
    <font>
      <name val="Arial"/>
      <sz val="10"/>
    </font>
    <font>
      <name val="Arial"/>
      <b val="1"/>
      <color rgb="008A5E00"/>
      <sz val="9"/>
    </font>
    <font>
      <name val="Arial"/>
      <color rgb="006B6B6B"/>
      <sz val="8"/>
    </font>
    <font>
      <name val="Arial"/>
      <b val="1"/>
      <color rgb="001F1F1F"/>
      <sz val="9"/>
    </font>
    <font>
      <name val="Arial"/>
      <color rgb="001F1F1F"/>
      <sz val="9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FFF8E6"/>
      </patternFill>
    </fill>
    <fill>
      <patternFill patternType="solid">
        <fgColor rgb="00E3A72F"/>
      </patternFill>
    </fill>
    <fill>
      <patternFill patternType="solid">
        <fgColor rgb="001F1F1F"/>
      </patternFill>
    </fill>
    <fill>
      <patternFill patternType="solid">
        <fgColor rgb="00FBEFD3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top style="thick">
        <color rgb="00E3A72F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2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0" borderId="2" applyAlignment="1" pivotButton="0" quotePrefix="0" xfId="0">
      <alignment vertical="top" wrapText="1"/>
    </xf>
    <xf numFmtId="0" fontId="0" fillId="0" borderId="5" pivotButton="0" quotePrefix="0" xfId="0"/>
    <xf numFmtId="164" fontId="9" fillId="2" borderId="2" applyAlignment="1" pivotButton="0" quotePrefix="0" xfId="0">
      <alignment horizontal="center" vertical="top" wrapText="1"/>
    </xf>
    <xf numFmtId="9" fontId="8" fillId="3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vertical="center" wrapText="1"/>
    </xf>
    <xf numFmtId="0" fontId="8" fillId="5" borderId="2" applyAlignment="1" pivotButton="0" quotePrefix="0" xfId="0">
      <alignment vertical="top" wrapText="1"/>
    </xf>
    <xf numFmtId="0" fontId="0" fillId="0" borderId="6" pivotButton="0" quotePrefix="0" xfId="0"/>
    <xf numFmtId="0" fontId="8" fillId="0" borderId="2" applyAlignment="1" pivotButton="0" quotePrefix="0" xfId="0">
      <alignment horizontal="center" vertical="top" wrapText="1"/>
    </xf>
    <xf numFmtId="164" fontId="9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vertical="top" wrapText="1"/>
    </xf>
    <xf numFmtId="0" fontId="9" fillId="0" borderId="2" applyAlignment="1" pivotButton="0" quotePrefix="0" xfId="0">
      <alignment horizontal="center" vertical="top" wrapText="1"/>
    </xf>
    <xf numFmtId="0" fontId="9" fillId="2" borderId="2" applyAlignment="1" pivotButton="0" quotePrefix="0" xfId="0">
      <alignment vertical="top" wrapText="1"/>
    </xf>
    <xf numFmtId="0" fontId="9" fillId="2" borderId="2" applyAlignment="1" pivotButton="0" quotePrefix="0" xfId="0">
      <alignment horizontal="center" vertical="top" wrapText="1"/>
    </xf>
    <xf numFmtId="0" fontId="9" fillId="6" borderId="2" applyAlignment="1" pivotButton="0" quotePrefix="0" xfId="0">
      <alignment horizontal="center" vertical="top" wrapText="1"/>
    </xf>
    <xf numFmtId="164" fontId="9" fillId="6" borderId="2" applyAlignment="1" pivotButton="0" quotePrefix="0" xfId="0">
      <alignment horizontal="center" vertical="top" wrapText="1"/>
    </xf>
    <xf numFmtId="0" fontId="8" fillId="2" borderId="2" applyAlignment="1" pivotButton="0" quotePrefix="0" xfId="0">
      <alignment horizontal="center" vertical="top" wrapText="1"/>
    </xf>
    <xf numFmtId="0" fontId="8" fillId="6" borderId="2" applyAlignment="1" pivotButton="0" quotePrefix="0" xfId="0">
      <alignment vertical="top" wrapText="1"/>
    </xf>
    <xf numFmtId="0" fontId="8" fillId="6" borderId="2" applyAlignment="1" pivotButton="0" quotePrefix="0" xfId="0">
      <alignment horizontal="center" vertical="top" wrapText="1"/>
    </xf>
  </cellXfs>
  <cellStyles count="1">
    <cellStyle name="Normal" xfId="0" builtinId="0" hidden="0"/>
  </cellStyles>
  <dxfs count="2">
    <dxf>
      <fill>
        <patternFill patternType="solid">
          <fgColor rgb="00E5F4E4"/>
        </patternFill>
      </fill>
    </dxf>
    <dxf>
      <fill>
        <patternFill patternType="solid">
          <fgColor rgb="00FBEB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CAPÍTULO 17 · MATERIAL PRÁCTICO</t>
        </is>
      </c>
      <c r="B1" s="2" t="n"/>
    </row>
    <row r="2" ht="24" customHeight="1">
      <c r="A2" s="3" t="inlineStr">
        <is>
          <t>Plan de 90 días</t>
        </is>
      </c>
    </row>
    <row r="3">
      <c r="A3" s="4" t="inlineStr">
        <is>
          <t>Material complementario de «Vende más y trabaja menos»</t>
        </is>
      </c>
    </row>
    <row r="6">
      <c r="A6" s="5" t="inlineStr">
        <is>
          <t>1. Plan de 90 días</t>
        </is>
      </c>
    </row>
    <row r="7" ht="30" customHeight="1">
      <c r="B7" s="6" t="inlineStr">
        <is>
          <t>Escribe la fecha de inicio, un lunes, y la hoja calcula las fechas de cada semana. Asigna un responsable a cada tarea y ve marcando su estado. Arriba verás el porcentaje del plan completado.</t>
        </is>
      </c>
    </row>
    <row r="8" ht="15" customHeight="1">
      <c r="B8" s="6" t="inlineStr">
        <is>
          <t>Cada fase se apoya en la anterior: no te saltes ninguna, aunque puedes alargarlas si lo necesitas.</t>
        </is>
      </c>
    </row>
    <row r="10">
      <c r="A10" s="5" t="inlineStr">
        <is>
          <t>2. Hoja de seguimiento</t>
        </is>
      </c>
    </row>
    <row r="11" ht="30" customHeight="1">
      <c r="B11" s="6" t="inlineStr">
        <is>
          <t>Úsala en cada reunión semanal de quince minutos: tarea, responsable, indicador, fecha límite y si está hecha.</t>
        </is>
      </c>
    </row>
    <row r="13">
      <c r="A13" s="5" t="inlineStr">
        <is>
          <t>3. Los quince pasos</t>
        </is>
      </c>
    </row>
    <row r="14" ht="15" customHeight="1">
      <c r="B14" s="6" t="inlineStr">
        <is>
          <t>Dentro de cada flujo que automatices, sigue siempre este orden. Hay una columna para cada flujo.</t>
        </is>
      </c>
    </row>
    <row r="16">
      <c r="A16" s="5" t="inlineStr">
        <is>
          <t>Cuando algo se tuerza</t>
        </is>
      </c>
    </row>
    <row r="17" ht="15" customHeight="1">
      <c r="B17" s="6" t="inlineStr">
        <is>
          <t>Mueve, no abandones: si una semana no se cumple, desplaza esa tarea, pero mantén la reunión semanal.</t>
        </is>
      </c>
    </row>
    <row r="18" ht="15" customHeight="1">
      <c r="B18" s="6" t="inlineStr">
        <is>
          <t>Protege el piloto: es tu prueba de que funciona; termínalo antes de empezar nada nuevo.</t>
        </is>
      </c>
    </row>
    <row r="19" ht="15" customHeight="1">
      <c r="B19" s="6" t="inlineStr">
        <is>
          <t>Reduce el alcance antes que el plazo: mejor un flujo funcionando a tiempo que tres a medias.</t>
        </is>
      </c>
    </row>
    <row r="21">
      <c r="A21" s="7" t="n"/>
      <c r="B21" s="8" t="inlineStr">
        <is>
          <t>Las celdas en amarillo claro son para rellenar. Las demás se calculan solas.</t>
        </is>
      </c>
    </row>
    <row r="23" ht="26" customHeight="1">
      <c r="B23" s="9" t="inlineStr">
        <is>
          <t>Material complementario del libro «Vende más y trabaja menos», de Jacob Ruiz. © 2026 Jacob Ruiz. Uso libre en tu empresa; no se permite su venta ni su distribución como material propio.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48" customWidth="1" min="4" max="4"/>
    <col width="12" customWidth="1" min="5" max="5"/>
    <col width="34" customWidth="1" min="6" max="6"/>
    <col width="18" customWidth="1" min="7" max="7"/>
    <col width="14" customWidth="1" min="8" max="8"/>
    <col width="28" customWidth="1" min="9" max="9"/>
  </cols>
  <sheetData>
    <row r="1">
      <c r="A1" s="1" t="inlineStr">
        <is>
          <t>CAPÍTULO 17 · MATERIAL PRÁCTICO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El plan de 90 días</t>
        </is>
      </c>
    </row>
    <row r="3">
      <c r="A3" s="4" t="inlineStr">
        <is>
          <t>Todo el libro convertido en un calendario semana a semana</t>
        </is>
      </c>
    </row>
    <row r="4">
      <c r="A4" s="10" t="inlineStr">
        <is>
          <t>Fecha de inicio (un lunes)</t>
        </is>
      </c>
      <c r="B4" s="11" t="n"/>
      <c r="C4" s="12" t="n"/>
    </row>
    <row r="5">
      <c r="A5" s="10" t="inlineStr">
        <is>
          <t>Plan completado</t>
        </is>
      </c>
      <c r="B5" s="11" t="n"/>
      <c r="C5" s="13">
        <f>IF(COUNTA(D8:D23)=0,0,COUNTIF(H8:H23,"Hecho")/COUNTA(D8:D23))</f>
        <v/>
      </c>
    </row>
    <row r="7" ht="30" customHeight="1">
      <c r="A7" s="14" t="inlineStr">
        <is>
          <t>Semanas</t>
        </is>
      </c>
      <c r="B7" s="14" t="inlineStr">
        <is>
          <t>Desde</t>
        </is>
      </c>
      <c r="C7" s="14" t="inlineStr">
        <is>
          <t>Hasta</t>
        </is>
      </c>
      <c r="D7" s="14" t="inlineStr">
        <is>
          <t>Qué hacer</t>
        </is>
      </c>
      <c r="E7" s="14" t="inlineStr">
        <is>
          <t>Capítulos</t>
        </is>
      </c>
      <c r="F7" s="14" t="inlineStr">
        <is>
          <t>Entregable</t>
        </is>
      </c>
      <c r="G7" s="14" t="inlineStr">
        <is>
          <t>Responsable</t>
        </is>
      </c>
      <c r="H7" s="14" t="inlineStr">
        <is>
          <t>Estado</t>
        </is>
      </c>
      <c r="I7" s="14" t="inlineStr">
        <is>
          <t>Notas</t>
        </is>
      </c>
    </row>
    <row r="8">
      <c r="A8" s="15" t="inlineStr">
        <is>
          <t>Fase 1 · Diagnóstico</t>
        </is>
      </c>
      <c r="B8" s="16" t="n"/>
      <c r="C8" s="16" t="n"/>
      <c r="D8" s="16" t="n"/>
      <c r="E8" s="16" t="n"/>
      <c r="F8" s="16" t="n"/>
      <c r="G8" s="16" t="n"/>
      <c r="H8" s="16" t="n"/>
      <c r="I8" s="11" t="n"/>
    </row>
    <row r="9" ht="34" customHeight="1">
      <c r="A9" s="17" t="inlineStr">
        <is>
          <t>1</t>
        </is>
      </c>
      <c r="B9" s="18">
        <f>IF($C$4="","",$C$4+0)</f>
        <v/>
      </c>
      <c r="C9" s="18">
        <f>IF($C$4="","",$C$4+4)</f>
        <v/>
      </c>
      <c r="D9" s="19" t="inlineStr">
        <is>
          <t>Autodiagnóstico con el equipo y hoja de coste del trabajo manual, o diagnóstico externo si lo necesitas</t>
        </is>
      </c>
      <c r="E9" s="20" t="inlineStr">
        <is>
          <t>1, 15</t>
        </is>
      </c>
      <c r="F9" s="19" t="inlineStr">
        <is>
          <t>Puntuación por bloques y cinco tareas con su coste</t>
        </is>
      </c>
      <c r="G9" s="21" t="n"/>
      <c r="H9" s="22" t="inlineStr">
        <is>
          <t>Pendiente</t>
        </is>
      </c>
      <c r="I9" s="21" t="n"/>
    </row>
    <row r="10" ht="34" customHeight="1">
      <c r="A10" s="17" t="inlineStr">
        <is>
          <t>2</t>
        </is>
      </c>
      <c r="B10" s="18">
        <f>IF($C$4="","",$C$4+7)</f>
        <v/>
      </c>
      <c r="C10" s="18">
        <f>IF($C$4="","",$C$4+11)</f>
        <v/>
      </c>
      <c r="D10" s="19" t="inlineStr">
        <is>
          <t>Recorrido del cliente, fugas, matriz impacto-esfuerzo y objetivos</t>
        </is>
      </c>
      <c r="E10" s="20" t="inlineStr">
        <is>
          <t>2</t>
        </is>
      </c>
      <c r="F10" s="19" t="inlineStr">
        <is>
          <t>Flujo piloto elegido y objetivos medibles</t>
        </is>
      </c>
      <c r="G10" s="21" t="n"/>
      <c r="H10" s="22" t="inlineStr">
        <is>
          <t>Pendiente</t>
        </is>
      </c>
      <c r="I10" s="21" t="n"/>
    </row>
    <row r="11">
      <c r="A11" s="15" t="inlineStr">
        <is>
          <t>Fase 2 · Base</t>
        </is>
      </c>
      <c r="B11" s="16" t="n"/>
      <c r="C11" s="16" t="n"/>
      <c r="D11" s="16" t="n"/>
      <c r="E11" s="16" t="n"/>
      <c r="F11" s="16" t="n"/>
      <c r="G11" s="16" t="n"/>
      <c r="H11" s="16" t="n"/>
      <c r="I11" s="11" t="n"/>
    </row>
    <row r="12" ht="34" customHeight="1">
      <c r="A12" s="17" t="inlineStr">
        <is>
          <t>3</t>
        </is>
      </c>
      <c r="B12" s="18">
        <f>IF($C$4="","",$C$4+14)</f>
        <v/>
      </c>
      <c r="C12" s="18">
        <f>IF($C$4="","",$C$4+18)</f>
        <v/>
      </c>
      <c r="D12" s="19" t="inlineStr">
        <is>
          <t>Inventario de herramientas, elección o revisión del CRM y taller de diseño con el equipo</t>
        </is>
      </c>
      <c r="E12" s="20" t="inlineStr">
        <is>
          <t>11, 7, 16</t>
        </is>
      </c>
      <c r="F12" s="19" t="inlineStr">
        <is>
          <t>CRM decidido y conectado con la web</t>
        </is>
      </c>
      <c r="G12" s="21" t="n"/>
      <c r="H12" s="22" t="inlineStr">
        <is>
          <t>Pendiente</t>
        </is>
      </c>
      <c r="I12" s="21" t="n"/>
    </row>
    <row r="13" ht="34" customHeight="1">
      <c r="A13" s="17" t="inlineStr">
        <is>
          <t>4</t>
        </is>
      </c>
      <c r="B13" s="18">
        <f>IF($C$4="","",$C$4+21)</f>
        <v/>
      </c>
      <c r="C13" s="18">
        <f>IF($C$4="","",$C$4+25)</f>
        <v/>
      </c>
      <c r="D13" s="19" t="inlineStr">
        <is>
          <t>Etapas del embudo, limpieza de datos, segmentos y consentimientos</t>
        </is>
      </c>
      <c r="E13" s="20" t="inlineStr">
        <is>
          <t>7, 3, 13</t>
        </is>
      </c>
      <c r="F13" s="19" t="inlineStr">
        <is>
          <t>Embudo configurado y base de datos limpia</t>
        </is>
      </c>
      <c r="G13" s="21" t="n"/>
      <c r="H13" s="22" t="inlineStr">
        <is>
          <t>Pendiente</t>
        </is>
      </c>
      <c r="I13" s="21" t="n"/>
    </row>
    <row r="14">
      <c r="A14" s="15" t="inlineStr">
        <is>
          <t>Fase 3 · Primeros flujos</t>
        </is>
      </c>
      <c r="B14" s="16" t="n"/>
      <c r="C14" s="16" t="n"/>
      <c r="D14" s="16" t="n"/>
      <c r="E14" s="16" t="n"/>
      <c r="F14" s="16" t="n"/>
      <c r="G14" s="16" t="n"/>
      <c r="H14" s="16" t="n"/>
      <c r="I14" s="11" t="n"/>
    </row>
    <row r="15" ht="34" customHeight="1">
      <c r="A15" s="17" t="inlineStr">
        <is>
          <t>5 y 6</t>
        </is>
      </c>
      <c r="B15" s="18">
        <f>IF($C$4="","",$C$4+28)</f>
        <v/>
      </c>
      <c r="C15" s="18">
        <f>IF($C$4="","",$C$4+39)</f>
        <v/>
      </c>
      <c r="D15" s="19" t="inlineStr">
        <is>
          <t>Flujo piloto: respuesta inmediata, alta en CRM y aviso al comercial; formación práctica de quienes lo usan</t>
        </is>
      </c>
      <c r="E15" s="20" t="inlineStr">
        <is>
          <t>4, 7, 16</t>
        </is>
      </c>
      <c r="F15" s="19" t="inlineStr">
        <is>
          <t>Piloto funcionando, medido y equipo formado</t>
        </is>
      </c>
      <c r="G15" s="21" t="n"/>
      <c r="H15" s="22" t="inlineStr">
        <is>
          <t>Pendiente</t>
        </is>
      </c>
      <c r="I15" s="21" t="n"/>
    </row>
    <row r="16" ht="34" customHeight="1">
      <c r="A16" s="17" t="inlineStr">
        <is>
          <t>7</t>
        </is>
      </c>
      <c r="B16" s="18">
        <f>IF($C$4="","",$C$4+42)</f>
        <v/>
      </c>
      <c r="C16" s="18">
        <f>IF($C$4="","",$C$4+46)</f>
        <v/>
      </c>
      <c r="D16" s="19" t="inlineStr">
        <is>
          <t>Seguimiento automático de presupuestos</t>
        </is>
      </c>
      <c r="E16" s="20" t="inlineStr">
        <is>
          <t>7</t>
        </is>
      </c>
      <c r="F16" s="19" t="inlineStr">
        <is>
          <t>Recordatorios a los 3 y 7 días</t>
        </is>
      </c>
      <c r="G16" s="21" t="n"/>
      <c r="H16" s="22" t="inlineStr">
        <is>
          <t>Pendiente</t>
        </is>
      </c>
      <c r="I16" s="21" t="n"/>
    </row>
    <row r="17" ht="34" customHeight="1">
      <c r="A17" s="17" t="inlineStr">
        <is>
          <t>8</t>
        </is>
      </c>
      <c r="B17" s="18">
        <f>IF($C$4="","",$C$4+49)</f>
        <v/>
      </c>
      <c r="C17" s="18">
        <f>IF($C$4="","",$C$4+53)</f>
        <v/>
      </c>
      <c r="D17" s="19" t="inlineStr">
        <is>
          <t>Secuencia de bienvenida</t>
        </is>
      </c>
      <c r="E17" s="20" t="inlineStr">
        <is>
          <t>5</t>
        </is>
      </c>
      <c r="F17" s="19" t="inlineStr">
        <is>
          <t>Tres correos automáticos</t>
        </is>
      </c>
      <c r="G17" s="21" t="n"/>
      <c r="H17" s="22" t="inlineStr">
        <is>
          <t>Pendiente</t>
        </is>
      </c>
      <c r="I17" s="21" t="n"/>
    </row>
    <row r="18" ht="34" customHeight="1">
      <c r="A18" s="17" t="inlineStr">
        <is>
          <t>9</t>
        </is>
      </c>
      <c r="B18" s="18">
        <f>IF($C$4="","",$C$4+56)</f>
        <v/>
      </c>
      <c r="C18" s="18">
        <f>IF($C$4="","",$C$4+60)</f>
        <v/>
      </c>
      <c r="D18" s="19" t="inlineStr">
        <is>
          <t>Encuesta NPS tras la compra y avisos de renovación</t>
        </is>
      </c>
      <c r="E18" s="20" t="inlineStr">
        <is>
          <t>8</t>
        </is>
      </c>
      <c r="F18" s="19" t="inlineStr">
        <is>
          <t>Encuesta y calendario de avisos activos</t>
        </is>
      </c>
      <c r="G18" s="21" t="n"/>
      <c r="H18" s="22" t="inlineStr">
        <is>
          <t>Pendiente</t>
        </is>
      </c>
      <c r="I18" s="21" t="n"/>
    </row>
    <row r="19" ht="34" customHeight="1">
      <c r="A19" s="17" t="inlineStr">
        <is>
          <t>10</t>
        </is>
      </c>
      <c r="B19" s="18">
        <f>IF($C$4="","",$C$4+63)</f>
        <v/>
      </c>
      <c r="C19" s="18">
        <f>IF($C$4="","",$C$4+67)</f>
        <v/>
      </c>
      <c r="D19" s="19" t="inlineStr">
        <is>
          <t>Preguntas frecuentes, primera tarea con IA, inventario de IA y formación básica en IA del equipo</t>
        </is>
      </c>
      <c r="E19" s="20" t="inlineStr">
        <is>
          <t>9, 10, 14, 16</t>
        </is>
      </c>
      <c r="F19" s="19" t="inlineStr">
        <is>
          <t>Respuestas rápidas, una tarea con IA en prueba, inventario hecho y equipo formado</t>
        </is>
      </c>
      <c r="G19" s="21" t="n"/>
      <c r="H19" s="22" t="inlineStr">
        <is>
          <t>Pendiente</t>
        </is>
      </c>
      <c r="I19" s="21" t="n"/>
    </row>
    <row r="20">
      <c r="A20" s="15" t="inlineStr">
        <is>
          <t>Fase 4 · Medir y ampliar</t>
        </is>
      </c>
      <c r="B20" s="16" t="n"/>
      <c r="C20" s="16" t="n"/>
      <c r="D20" s="16" t="n"/>
      <c r="E20" s="16" t="n"/>
      <c r="F20" s="16" t="n"/>
      <c r="G20" s="16" t="n"/>
      <c r="H20" s="16" t="n"/>
      <c r="I20" s="11" t="n"/>
    </row>
    <row r="21" ht="34" customHeight="1">
      <c r="A21" s="17" t="inlineStr">
        <is>
          <t>11</t>
        </is>
      </c>
      <c r="B21" s="18">
        <f>IF($C$4="","",$C$4+70)</f>
        <v/>
      </c>
      <c r="C21" s="18">
        <f>IF($C$4="","",$C$4+74)</f>
        <v/>
      </c>
      <c r="D21" s="19" t="inlineStr">
        <is>
          <t>Cuadro de mando y primera reunión mensual</t>
        </is>
      </c>
      <c r="E21" s="20" t="inlineStr">
        <is>
          <t>12</t>
        </is>
      </c>
      <c r="F21" s="19" t="inlineStr">
        <is>
          <t>Cuadro de mando con datos reales</t>
        </is>
      </c>
      <c r="G21" s="21" t="n"/>
      <c r="H21" s="22" t="inlineStr">
        <is>
          <t>Pendiente</t>
        </is>
      </c>
      <c r="I21" s="21" t="n"/>
    </row>
    <row r="22" ht="34" customHeight="1">
      <c r="A22" s="17" t="inlineStr">
        <is>
          <t>12</t>
        </is>
      </c>
      <c r="B22" s="18">
        <f>IF($C$4="","",$C$4+77)</f>
        <v/>
      </c>
      <c r="C22" s="18">
        <f>IF($C$4="","",$C$4+81)</f>
        <v/>
      </c>
      <c r="D22" s="19" t="inlineStr">
        <is>
          <t>Ajustes según los datos y pruebas A/B</t>
        </is>
      </c>
      <c r="E22" s="20" t="inlineStr">
        <is>
          <t>12</t>
        </is>
      </c>
      <c r="F22" s="19" t="inlineStr">
        <is>
          <t>Dos mejoras aplicadas</t>
        </is>
      </c>
      <c r="G22" s="21" t="n"/>
      <c r="H22" s="22" t="inlineStr">
        <is>
          <t>Pendiente</t>
        </is>
      </c>
      <c r="I22" s="21" t="n"/>
    </row>
    <row r="23" ht="34" customHeight="1">
      <c r="A23" s="17" t="inlineStr">
        <is>
          <t>13</t>
        </is>
      </c>
      <c r="B23" s="18">
        <f>IF($C$4="","",$C$4+84)</f>
        <v/>
      </c>
      <c r="C23" s="18">
        <f>IF($C$4="","",$C$4+88)</f>
        <v/>
      </c>
      <c r="D23" s="19" t="inlineStr">
        <is>
          <t>Revisión de los 90 días y plan del siguiente trimestre</t>
        </is>
      </c>
      <c r="E23" s="20" t="inlineStr">
        <is>
          <t>17</t>
        </is>
      </c>
      <c r="F23" s="19" t="inlineStr">
        <is>
          <t>Resultados presentados y nuevo plan</t>
        </is>
      </c>
      <c r="G23" s="21" t="n"/>
      <c r="H23" s="22" t="inlineStr">
        <is>
          <t>Pendiente</t>
        </is>
      </c>
      <c r="I23" s="21" t="n"/>
    </row>
  </sheetData>
  <mergeCells count="6">
    <mergeCell ref="A4:B4"/>
    <mergeCell ref="A11:I11"/>
    <mergeCell ref="A14:I14"/>
    <mergeCell ref="A5:B5"/>
    <mergeCell ref="A8:I8"/>
    <mergeCell ref="A20:I20"/>
  </mergeCells>
  <conditionalFormatting sqref="H8:H23">
    <cfRule type="cellIs" priority="1" operator="equal" dxfId="0">
      <formula>"Hecho"</formula>
    </cfRule>
    <cfRule type="cellIs" priority="2" operator="equal" dxfId="1">
      <formula>"Retrasado"</formula>
    </cfRule>
  </conditionalFormatting>
  <dataValidations count="1">
    <dataValidation sqref="H8:H23" showDropDown="0" showInputMessage="0" showErrorMessage="1" allowBlank="1" errorTitle="Valor no válido" error="Elige una opción de la lista." type="list">
      <formula1>"Pendiente,En curso,Hecho,Retrasado"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5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44" customWidth="1" min="3" max="3"/>
    <col width="20" customWidth="1" min="4" max="4"/>
    <col width="24" customWidth="1" min="5" max="5"/>
    <col width="14" customWidth="1" min="6" max="6"/>
    <col width="10" customWidth="1" min="7" max="7"/>
    <col width="30" customWidth="1" min="8" max="8"/>
  </cols>
  <sheetData>
    <row r="1">
      <c r="A1" s="1" t="inlineStr">
        <is>
          <t>CAPÍTULO 17 · MATERIAL PRÁCTICO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Hoja de seguimiento</t>
        </is>
      </c>
    </row>
    <row r="3">
      <c r="A3" s="4" t="inlineStr">
        <is>
          <t>Para la reunión semanal de quince minutos</t>
        </is>
      </c>
    </row>
    <row r="5" ht="30" customHeight="1">
      <c r="A5" s="14" t="inlineStr">
        <is>
          <t>Semana</t>
        </is>
      </c>
      <c r="B5" s="14" t="inlineStr">
        <is>
          <t>Semana del</t>
        </is>
      </c>
      <c r="C5" s="14" t="inlineStr">
        <is>
          <t>Tarea</t>
        </is>
      </c>
      <c r="D5" s="14" t="inlineStr">
        <is>
          <t>Responsable</t>
        </is>
      </c>
      <c r="E5" s="14" t="inlineStr">
        <is>
          <t>Indicador</t>
        </is>
      </c>
      <c r="F5" s="14" t="inlineStr">
        <is>
          <t>Fecha límite</t>
        </is>
      </c>
      <c r="G5" s="14" t="inlineStr">
        <is>
          <t>Hecho</t>
        </is>
      </c>
      <c r="H5" s="14" t="inlineStr">
        <is>
          <t>Comentarios</t>
        </is>
      </c>
    </row>
    <row r="6">
      <c r="A6" s="20" t="n">
        <v>1</v>
      </c>
      <c r="B6" s="18">
        <f>IF('Plan de 90 días'!$C$4="","",'Plan de 90 días'!$C$4+0)</f>
        <v/>
      </c>
      <c r="C6" s="21" t="n"/>
      <c r="D6" s="21" t="n"/>
      <c r="E6" s="21" t="n"/>
      <c r="F6" s="12" t="n"/>
      <c r="G6" s="22" t="n"/>
      <c r="H6" s="21" t="n"/>
    </row>
    <row r="7">
      <c r="A7" s="20" t="n">
        <v>1</v>
      </c>
      <c r="B7" s="18">
        <f>IF('Plan de 90 días'!$C$4="","",'Plan de 90 días'!$C$4+0)</f>
        <v/>
      </c>
      <c r="C7" s="21" t="n"/>
      <c r="D7" s="21" t="n"/>
      <c r="E7" s="21" t="n"/>
      <c r="F7" s="12" t="n"/>
      <c r="G7" s="22" t="n"/>
      <c r="H7" s="21" t="n"/>
    </row>
    <row r="8">
      <c r="A8" s="20" t="n">
        <v>1</v>
      </c>
      <c r="B8" s="18">
        <f>IF('Plan de 90 días'!$C$4="","",'Plan de 90 días'!$C$4+0)</f>
        <v/>
      </c>
      <c r="C8" s="21" t="n"/>
      <c r="D8" s="21" t="n"/>
      <c r="E8" s="21" t="n"/>
      <c r="F8" s="12" t="n"/>
      <c r="G8" s="22" t="n"/>
      <c r="H8" s="21" t="n"/>
    </row>
    <row r="9">
      <c r="A9" s="20" t="n">
        <v>1</v>
      </c>
      <c r="B9" s="18">
        <f>IF('Plan de 90 días'!$C$4="","",'Plan de 90 días'!$C$4+0)</f>
        <v/>
      </c>
      <c r="C9" s="21" t="n"/>
      <c r="D9" s="21" t="n"/>
      <c r="E9" s="21" t="n"/>
      <c r="F9" s="12" t="n"/>
      <c r="G9" s="22" t="n"/>
      <c r="H9" s="21" t="n"/>
    </row>
    <row r="10">
      <c r="A10" s="23" t="n">
        <v>2</v>
      </c>
      <c r="B10" s="24">
        <f>IF('Plan de 90 días'!$C$4="","",'Plan de 90 días'!$C$4+7)</f>
        <v/>
      </c>
      <c r="C10" s="21" t="n"/>
      <c r="D10" s="21" t="n"/>
      <c r="E10" s="21" t="n"/>
      <c r="F10" s="12" t="n"/>
      <c r="G10" s="22" t="n"/>
      <c r="H10" s="21" t="n"/>
    </row>
    <row r="11">
      <c r="A11" s="23" t="n">
        <v>2</v>
      </c>
      <c r="B11" s="24">
        <f>IF('Plan de 90 días'!$C$4="","",'Plan de 90 días'!$C$4+7)</f>
        <v/>
      </c>
      <c r="C11" s="21" t="n"/>
      <c r="D11" s="21" t="n"/>
      <c r="E11" s="21" t="n"/>
      <c r="F11" s="12" t="n"/>
      <c r="G11" s="22" t="n"/>
      <c r="H11" s="21" t="n"/>
    </row>
    <row r="12">
      <c r="A12" s="23" t="n">
        <v>2</v>
      </c>
      <c r="B12" s="24">
        <f>IF('Plan de 90 días'!$C$4="","",'Plan de 90 días'!$C$4+7)</f>
        <v/>
      </c>
      <c r="C12" s="21" t="n"/>
      <c r="D12" s="21" t="n"/>
      <c r="E12" s="21" t="n"/>
      <c r="F12" s="12" t="n"/>
      <c r="G12" s="22" t="n"/>
      <c r="H12" s="21" t="n"/>
    </row>
    <row r="13">
      <c r="A13" s="23" t="n">
        <v>2</v>
      </c>
      <c r="B13" s="24">
        <f>IF('Plan de 90 días'!$C$4="","",'Plan de 90 días'!$C$4+7)</f>
        <v/>
      </c>
      <c r="C13" s="21" t="n"/>
      <c r="D13" s="21" t="n"/>
      <c r="E13" s="21" t="n"/>
      <c r="F13" s="12" t="n"/>
      <c r="G13" s="22" t="n"/>
      <c r="H13" s="21" t="n"/>
    </row>
    <row r="14">
      <c r="A14" s="20" t="n">
        <v>3</v>
      </c>
      <c r="B14" s="18">
        <f>IF('Plan de 90 días'!$C$4="","",'Plan de 90 días'!$C$4+14)</f>
        <v/>
      </c>
      <c r="C14" s="21" t="n"/>
      <c r="D14" s="21" t="n"/>
      <c r="E14" s="21" t="n"/>
      <c r="F14" s="12" t="n"/>
      <c r="G14" s="22" t="n"/>
      <c r="H14" s="21" t="n"/>
    </row>
    <row r="15">
      <c r="A15" s="20" t="n">
        <v>3</v>
      </c>
      <c r="B15" s="18">
        <f>IF('Plan de 90 días'!$C$4="","",'Plan de 90 días'!$C$4+14)</f>
        <v/>
      </c>
      <c r="C15" s="21" t="n"/>
      <c r="D15" s="21" t="n"/>
      <c r="E15" s="21" t="n"/>
      <c r="F15" s="12" t="n"/>
      <c r="G15" s="22" t="n"/>
      <c r="H15" s="21" t="n"/>
    </row>
    <row r="16">
      <c r="A16" s="20" t="n">
        <v>3</v>
      </c>
      <c r="B16" s="18">
        <f>IF('Plan de 90 días'!$C$4="","",'Plan de 90 días'!$C$4+14)</f>
        <v/>
      </c>
      <c r="C16" s="21" t="n"/>
      <c r="D16" s="21" t="n"/>
      <c r="E16" s="21" t="n"/>
      <c r="F16" s="12" t="n"/>
      <c r="G16" s="22" t="n"/>
      <c r="H16" s="21" t="n"/>
    </row>
    <row r="17">
      <c r="A17" s="20" t="n">
        <v>3</v>
      </c>
      <c r="B17" s="18">
        <f>IF('Plan de 90 días'!$C$4="","",'Plan de 90 días'!$C$4+14)</f>
        <v/>
      </c>
      <c r="C17" s="21" t="n"/>
      <c r="D17" s="21" t="n"/>
      <c r="E17" s="21" t="n"/>
      <c r="F17" s="12" t="n"/>
      <c r="G17" s="22" t="n"/>
      <c r="H17" s="21" t="n"/>
    </row>
    <row r="18">
      <c r="A18" s="23" t="n">
        <v>4</v>
      </c>
      <c r="B18" s="24">
        <f>IF('Plan de 90 días'!$C$4="","",'Plan de 90 días'!$C$4+21)</f>
        <v/>
      </c>
      <c r="C18" s="21" t="n"/>
      <c r="D18" s="21" t="n"/>
      <c r="E18" s="21" t="n"/>
      <c r="F18" s="12" t="n"/>
      <c r="G18" s="22" t="n"/>
      <c r="H18" s="21" t="n"/>
    </row>
    <row r="19">
      <c r="A19" s="23" t="n">
        <v>4</v>
      </c>
      <c r="B19" s="24">
        <f>IF('Plan de 90 días'!$C$4="","",'Plan de 90 días'!$C$4+21)</f>
        <v/>
      </c>
      <c r="C19" s="21" t="n"/>
      <c r="D19" s="21" t="n"/>
      <c r="E19" s="21" t="n"/>
      <c r="F19" s="12" t="n"/>
      <c r="G19" s="22" t="n"/>
      <c r="H19" s="21" t="n"/>
    </row>
    <row r="20">
      <c r="A20" s="23" t="n">
        <v>4</v>
      </c>
      <c r="B20" s="24">
        <f>IF('Plan de 90 días'!$C$4="","",'Plan de 90 días'!$C$4+21)</f>
        <v/>
      </c>
      <c r="C20" s="21" t="n"/>
      <c r="D20" s="21" t="n"/>
      <c r="E20" s="21" t="n"/>
      <c r="F20" s="12" t="n"/>
      <c r="G20" s="22" t="n"/>
      <c r="H20" s="21" t="n"/>
    </row>
    <row r="21">
      <c r="A21" s="23" t="n">
        <v>4</v>
      </c>
      <c r="B21" s="24">
        <f>IF('Plan de 90 días'!$C$4="","",'Plan de 90 días'!$C$4+21)</f>
        <v/>
      </c>
      <c r="C21" s="21" t="n"/>
      <c r="D21" s="21" t="n"/>
      <c r="E21" s="21" t="n"/>
      <c r="F21" s="12" t="n"/>
      <c r="G21" s="22" t="n"/>
      <c r="H21" s="21" t="n"/>
    </row>
    <row r="22">
      <c r="A22" s="20" t="n">
        <v>5</v>
      </c>
      <c r="B22" s="18">
        <f>IF('Plan de 90 días'!$C$4="","",'Plan de 90 días'!$C$4+28)</f>
        <v/>
      </c>
      <c r="C22" s="21" t="n"/>
      <c r="D22" s="21" t="n"/>
      <c r="E22" s="21" t="n"/>
      <c r="F22" s="12" t="n"/>
      <c r="G22" s="22" t="n"/>
      <c r="H22" s="21" t="n"/>
    </row>
    <row r="23">
      <c r="A23" s="20" t="n">
        <v>5</v>
      </c>
      <c r="B23" s="18">
        <f>IF('Plan de 90 días'!$C$4="","",'Plan de 90 días'!$C$4+28)</f>
        <v/>
      </c>
      <c r="C23" s="21" t="n"/>
      <c r="D23" s="21" t="n"/>
      <c r="E23" s="21" t="n"/>
      <c r="F23" s="12" t="n"/>
      <c r="G23" s="22" t="n"/>
      <c r="H23" s="21" t="n"/>
    </row>
    <row r="24">
      <c r="A24" s="20" t="n">
        <v>5</v>
      </c>
      <c r="B24" s="18">
        <f>IF('Plan de 90 días'!$C$4="","",'Plan de 90 días'!$C$4+28)</f>
        <v/>
      </c>
      <c r="C24" s="21" t="n"/>
      <c r="D24" s="21" t="n"/>
      <c r="E24" s="21" t="n"/>
      <c r="F24" s="12" t="n"/>
      <c r="G24" s="22" t="n"/>
      <c r="H24" s="21" t="n"/>
    </row>
    <row r="25">
      <c r="A25" s="20" t="n">
        <v>5</v>
      </c>
      <c r="B25" s="18">
        <f>IF('Plan de 90 días'!$C$4="","",'Plan de 90 días'!$C$4+28)</f>
        <v/>
      </c>
      <c r="C25" s="21" t="n"/>
      <c r="D25" s="21" t="n"/>
      <c r="E25" s="21" t="n"/>
      <c r="F25" s="12" t="n"/>
      <c r="G25" s="22" t="n"/>
      <c r="H25" s="21" t="n"/>
    </row>
    <row r="26">
      <c r="A26" s="23" t="n">
        <v>6</v>
      </c>
      <c r="B26" s="24">
        <f>IF('Plan de 90 días'!$C$4="","",'Plan de 90 días'!$C$4+35)</f>
        <v/>
      </c>
      <c r="C26" s="21" t="n"/>
      <c r="D26" s="21" t="n"/>
      <c r="E26" s="21" t="n"/>
      <c r="F26" s="12" t="n"/>
      <c r="G26" s="22" t="n"/>
      <c r="H26" s="21" t="n"/>
    </row>
    <row r="27">
      <c r="A27" s="23" t="n">
        <v>6</v>
      </c>
      <c r="B27" s="24">
        <f>IF('Plan de 90 días'!$C$4="","",'Plan de 90 días'!$C$4+35)</f>
        <v/>
      </c>
      <c r="C27" s="21" t="n"/>
      <c r="D27" s="21" t="n"/>
      <c r="E27" s="21" t="n"/>
      <c r="F27" s="12" t="n"/>
      <c r="G27" s="22" t="n"/>
      <c r="H27" s="21" t="n"/>
    </row>
    <row r="28">
      <c r="A28" s="23" t="n">
        <v>6</v>
      </c>
      <c r="B28" s="24">
        <f>IF('Plan de 90 días'!$C$4="","",'Plan de 90 días'!$C$4+35)</f>
        <v/>
      </c>
      <c r="C28" s="21" t="n"/>
      <c r="D28" s="21" t="n"/>
      <c r="E28" s="21" t="n"/>
      <c r="F28" s="12" t="n"/>
      <c r="G28" s="22" t="n"/>
      <c r="H28" s="21" t="n"/>
    </row>
    <row r="29">
      <c r="A29" s="23" t="n">
        <v>6</v>
      </c>
      <c r="B29" s="24">
        <f>IF('Plan de 90 días'!$C$4="","",'Plan de 90 días'!$C$4+35)</f>
        <v/>
      </c>
      <c r="C29" s="21" t="n"/>
      <c r="D29" s="21" t="n"/>
      <c r="E29" s="21" t="n"/>
      <c r="F29" s="12" t="n"/>
      <c r="G29" s="22" t="n"/>
      <c r="H29" s="21" t="n"/>
    </row>
    <row r="30">
      <c r="A30" s="20" t="n">
        <v>7</v>
      </c>
      <c r="B30" s="18">
        <f>IF('Plan de 90 días'!$C$4="","",'Plan de 90 días'!$C$4+42)</f>
        <v/>
      </c>
      <c r="C30" s="21" t="n"/>
      <c r="D30" s="21" t="n"/>
      <c r="E30" s="21" t="n"/>
      <c r="F30" s="12" t="n"/>
      <c r="G30" s="22" t="n"/>
      <c r="H30" s="21" t="n"/>
    </row>
    <row r="31">
      <c r="A31" s="20" t="n">
        <v>7</v>
      </c>
      <c r="B31" s="18">
        <f>IF('Plan de 90 días'!$C$4="","",'Plan de 90 días'!$C$4+42)</f>
        <v/>
      </c>
      <c r="C31" s="21" t="n"/>
      <c r="D31" s="21" t="n"/>
      <c r="E31" s="21" t="n"/>
      <c r="F31" s="12" t="n"/>
      <c r="G31" s="22" t="n"/>
      <c r="H31" s="21" t="n"/>
    </row>
    <row r="32">
      <c r="A32" s="20" t="n">
        <v>7</v>
      </c>
      <c r="B32" s="18">
        <f>IF('Plan de 90 días'!$C$4="","",'Plan de 90 días'!$C$4+42)</f>
        <v/>
      </c>
      <c r="C32" s="21" t="n"/>
      <c r="D32" s="21" t="n"/>
      <c r="E32" s="21" t="n"/>
      <c r="F32" s="12" t="n"/>
      <c r="G32" s="22" t="n"/>
      <c r="H32" s="21" t="n"/>
    </row>
    <row r="33">
      <c r="A33" s="20" t="n">
        <v>7</v>
      </c>
      <c r="B33" s="18">
        <f>IF('Plan de 90 días'!$C$4="","",'Plan de 90 días'!$C$4+42)</f>
        <v/>
      </c>
      <c r="C33" s="21" t="n"/>
      <c r="D33" s="21" t="n"/>
      <c r="E33" s="21" t="n"/>
      <c r="F33" s="12" t="n"/>
      <c r="G33" s="22" t="n"/>
      <c r="H33" s="21" t="n"/>
    </row>
    <row r="34">
      <c r="A34" s="23" t="n">
        <v>8</v>
      </c>
      <c r="B34" s="24">
        <f>IF('Plan de 90 días'!$C$4="","",'Plan de 90 días'!$C$4+49)</f>
        <v/>
      </c>
      <c r="C34" s="21" t="n"/>
      <c r="D34" s="21" t="n"/>
      <c r="E34" s="21" t="n"/>
      <c r="F34" s="12" t="n"/>
      <c r="G34" s="22" t="n"/>
      <c r="H34" s="21" t="n"/>
    </row>
    <row r="35">
      <c r="A35" s="23" t="n">
        <v>8</v>
      </c>
      <c r="B35" s="24">
        <f>IF('Plan de 90 días'!$C$4="","",'Plan de 90 días'!$C$4+49)</f>
        <v/>
      </c>
      <c r="C35" s="21" t="n"/>
      <c r="D35" s="21" t="n"/>
      <c r="E35" s="21" t="n"/>
      <c r="F35" s="12" t="n"/>
      <c r="G35" s="22" t="n"/>
      <c r="H35" s="21" t="n"/>
    </row>
    <row r="36">
      <c r="A36" s="23" t="n">
        <v>8</v>
      </c>
      <c r="B36" s="24">
        <f>IF('Plan de 90 días'!$C$4="","",'Plan de 90 días'!$C$4+49)</f>
        <v/>
      </c>
      <c r="C36" s="21" t="n"/>
      <c r="D36" s="21" t="n"/>
      <c r="E36" s="21" t="n"/>
      <c r="F36" s="12" t="n"/>
      <c r="G36" s="22" t="n"/>
      <c r="H36" s="21" t="n"/>
    </row>
    <row r="37">
      <c r="A37" s="23" t="n">
        <v>8</v>
      </c>
      <c r="B37" s="24">
        <f>IF('Plan de 90 días'!$C$4="","",'Plan de 90 días'!$C$4+49)</f>
        <v/>
      </c>
      <c r="C37" s="21" t="n"/>
      <c r="D37" s="21" t="n"/>
      <c r="E37" s="21" t="n"/>
      <c r="F37" s="12" t="n"/>
      <c r="G37" s="22" t="n"/>
      <c r="H37" s="21" t="n"/>
    </row>
    <row r="38">
      <c r="A38" s="20" t="n">
        <v>9</v>
      </c>
      <c r="B38" s="18">
        <f>IF('Plan de 90 días'!$C$4="","",'Plan de 90 días'!$C$4+56)</f>
        <v/>
      </c>
      <c r="C38" s="21" t="n"/>
      <c r="D38" s="21" t="n"/>
      <c r="E38" s="21" t="n"/>
      <c r="F38" s="12" t="n"/>
      <c r="G38" s="22" t="n"/>
      <c r="H38" s="21" t="n"/>
    </row>
    <row r="39">
      <c r="A39" s="20" t="n">
        <v>9</v>
      </c>
      <c r="B39" s="18">
        <f>IF('Plan de 90 días'!$C$4="","",'Plan de 90 días'!$C$4+56)</f>
        <v/>
      </c>
      <c r="C39" s="21" t="n"/>
      <c r="D39" s="21" t="n"/>
      <c r="E39" s="21" t="n"/>
      <c r="F39" s="12" t="n"/>
      <c r="G39" s="22" t="n"/>
      <c r="H39" s="21" t="n"/>
    </row>
    <row r="40">
      <c r="A40" s="20" t="n">
        <v>9</v>
      </c>
      <c r="B40" s="18">
        <f>IF('Plan de 90 días'!$C$4="","",'Plan de 90 días'!$C$4+56)</f>
        <v/>
      </c>
      <c r="C40" s="21" t="n"/>
      <c r="D40" s="21" t="n"/>
      <c r="E40" s="21" t="n"/>
      <c r="F40" s="12" t="n"/>
      <c r="G40" s="22" t="n"/>
      <c r="H40" s="21" t="n"/>
    </row>
    <row r="41">
      <c r="A41" s="20" t="n">
        <v>9</v>
      </c>
      <c r="B41" s="18">
        <f>IF('Plan de 90 días'!$C$4="","",'Plan de 90 días'!$C$4+56)</f>
        <v/>
      </c>
      <c r="C41" s="21" t="n"/>
      <c r="D41" s="21" t="n"/>
      <c r="E41" s="21" t="n"/>
      <c r="F41" s="12" t="n"/>
      <c r="G41" s="22" t="n"/>
      <c r="H41" s="21" t="n"/>
    </row>
    <row r="42">
      <c r="A42" s="23" t="n">
        <v>10</v>
      </c>
      <c r="B42" s="24">
        <f>IF('Plan de 90 días'!$C$4="","",'Plan de 90 días'!$C$4+63)</f>
        <v/>
      </c>
      <c r="C42" s="21" t="n"/>
      <c r="D42" s="21" t="n"/>
      <c r="E42" s="21" t="n"/>
      <c r="F42" s="12" t="n"/>
      <c r="G42" s="22" t="n"/>
      <c r="H42" s="21" t="n"/>
    </row>
    <row r="43">
      <c r="A43" s="23" t="n">
        <v>10</v>
      </c>
      <c r="B43" s="24">
        <f>IF('Plan de 90 días'!$C$4="","",'Plan de 90 días'!$C$4+63)</f>
        <v/>
      </c>
      <c r="C43" s="21" t="n"/>
      <c r="D43" s="21" t="n"/>
      <c r="E43" s="21" t="n"/>
      <c r="F43" s="12" t="n"/>
      <c r="G43" s="22" t="n"/>
      <c r="H43" s="21" t="n"/>
    </row>
    <row r="44">
      <c r="A44" s="23" t="n">
        <v>10</v>
      </c>
      <c r="B44" s="24">
        <f>IF('Plan de 90 días'!$C$4="","",'Plan de 90 días'!$C$4+63)</f>
        <v/>
      </c>
      <c r="C44" s="21" t="n"/>
      <c r="D44" s="21" t="n"/>
      <c r="E44" s="21" t="n"/>
      <c r="F44" s="12" t="n"/>
      <c r="G44" s="22" t="n"/>
      <c r="H44" s="21" t="n"/>
    </row>
    <row r="45">
      <c r="A45" s="23" t="n">
        <v>10</v>
      </c>
      <c r="B45" s="24">
        <f>IF('Plan de 90 días'!$C$4="","",'Plan de 90 días'!$C$4+63)</f>
        <v/>
      </c>
      <c r="C45" s="21" t="n"/>
      <c r="D45" s="21" t="n"/>
      <c r="E45" s="21" t="n"/>
      <c r="F45" s="12" t="n"/>
      <c r="G45" s="22" t="n"/>
      <c r="H45" s="21" t="n"/>
    </row>
    <row r="46">
      <c r="A46" s="20" t="n">
        <v>11</v>
      </c>
      <c r="B46" s="18">
        <f>IF('Plan de 90 días'!$C$4="","",'Plan de 90 días'!$C$4+70)</f>
        <v/>
      </c>
      <c r="C46" s="21" t="n"/>
      <c r="D46" s="21" t="n"/>
      <c r="E46" s="21" t="n"/>
      <c r="F46" s="12" t="n"/>
      <c r="G46" s="22" t="n"/>
      <c r="H46" s="21" t="n"/>
    </row>
    <row r="47">
      <c r="A47" s="20" t="n">
        <v>11</v>
      </c>
      <c r="B47" s="18">
        <f>IF('Plan de 90 días'!$C$4="","",'Plan de 90 días'!$C$4+70)</f>
        <v/>
      </c>
      <c r="C47" s="21" t="n"/>
      <c r="D47" s="21" t="n"/>
      <c r="E47" s="21" t="n"/>
      <c r="F47" s="12" t="n"/>
      <c r="G47" s="22" t="n"/>
      <c r="H47" s="21" t="n"/>
    </row>
    <row r="48">
      <c r="A48" s="20" t="n">
        <v>11</v>
      </c>
      <c r="B48" s="18">
        <f>IF('Plan de 90 días'!$C$4="","",'Plan de 90 días'!$C$4+70)</f>
        <v/>
      </c>
      <c r="C48" s="21" t="n"/>
      <c r="D48" s="21" t="n"/>
      <c r="E48" s="21" t="n"/>
      <c r="F48" s="12" t="n"/>
      <c r="G48" s="22" t="n"/>
      <c r="H48" s="21" t="n"/>
    </row>
    <row r="49">
      <c r="A49" s="20" t="n">
        <v>11</v>
      </c>
      <c r="B49" s="18">
        <f>IF('Plan de 90 días'!$C$4="","",'Plan de 90 días'!$C$4+70)</f>
        <v/>
      </c>
      <c r="C49" s="21" t="n"/>
      <c r="D49" s="21" t="n"/>
      <c r="E49" s="21" t="n"/>
      <c r="F49" s="12" t="n"/>
      <c r="G49" s="22" t="n"/>
      <c r="H49" s="21" t="n"/>
    </row>
    <row r="50">
      <c r="A50" s="23" t="n">
        <v>12</v>
      </c>
      <c r="B50" s="24">
        <f>IF('Plan de 90 días'!$C$4="","",'Plan de 90 días'!$C$4+77)</f>
        <v/>
      </c>
      <c r="C50" s="21" t="n"/>
      <c r="D50" s="21" t="n"/>
      <c r="E50" s="21" t="n"/>
      <c r="F50" s="12" t="n"/>
      <c r="G50" s="22" t="n"/>
      <c r="H50" s="21" t="n"/>
    </row>
    <row r="51">
      <c r="A51" s="23" t="n">
        <v>12</v>
      </c>
      <c r="B51" s="24">
        <f>IF('Plan de 90 días'!$C$4="","",'Plan de 90 días'!$C$4+77)</f>
        <v/>
      </c>
      <c r="C51" s="21" t="n"/>
      <c r="D51" s="21" t="n"/>
      <c r="E51" s="21" t="n"/>
      <c r="F51" s="12" t="n"/>
      <c r="G51" s="22" t="n"/>
      <c r="H51" s="21" t="n"/>
    </row>
    <row r="52">
      <c r="A52" s="23" t="n">
        <v>12</v>
      </c>
      <c r="B52" s="24">
        <f>IF('Plan de 90 días'!$C$4="","",'Plan de 90 días'!$C$4+77)</f>
        <v/>
      </c>
      <c r="C52" s="21" t="n"/>
      <c r="D52" s="21" t="n"/>
      <c r="E52" s="21" t="n"/>
      <c r="F52" s="12" t="n"/>
      <c r="G52" s="22" t="n"/>
      <c r="H52" s="21" t="n"/>
    </row>
    <row r="53">
      <c r="A53" s="23" t="n">
        <v>12</v>
      </c>
      <c r="B53" s="24">
        <f>IF('Plan de 90 días'!$C$4="","",'Plan de 90 días'!$C$4+77)</f>
        <v/>
      </c>
      <c r="C53" s="21" t="n"/>
      <c r="D53" s="21" t="n"/>
      <c r="E53" s="21" t="n"/>
      <c r="F53" s="12" t="n"/>
      <c r="G53" s="22" t="n"/>
      <c r="H53" s="21" t="n"/>
    </row>
    <row r="54">
      <c r="A54" s="20" t="n">
        <v>13</v>
      </c>
      <c r="B54" s="18">
        <f>IF('Plan de 90 días'!$C$4="","",'Plan de 90 días'!$C$4+84)</f>
        <v/>
      </c>
      <c r="C54" s="21" t="n"/>
      <c r="D54" s="21" t="n"/>
      <c r="E54" s="21" t="n"/>
      <c r="F54" s="12" t="n"/>
      <c r="G54" s="22" t="n"/>
      <c r="H54" s="21" t="n"/>
    </row>
    <row r="55">
      <c r="A55" s="20" t="n">
        <v>13</v>
      </c>
      <c r="B55" s="18">
        <f>IF('Plan de 90 días'!$C$4="","",'Plan de 90 días'!$C$4+84)</f>
        <v/>
      </c>
      <c r="C55" s="21" t="n"/>
      <c r="D55" s="21" t="n"/>
      <c r="E55" s="21" t="n"/>
      <c r="F55" s="12" t="n"/>
      <c r="G55" s="22" t="n"/>
      <c r="H55" s="21" t="n"/>
    </row>
    <row r="56">
      <c r="A56" s="20" t="n">
        <v>13</v>
      </c>
      <c r="B56" s="18">
        <f>IF('Plan de 90 días'!$C$4="","",'Plan de 90 días'!$C$4+84)</f>
        <v/>
      </c>
      <c r="C56" s="21" t="n"/>
      <c r="D56" s="21" t="n"/>
      <c r="E56" s="21" t="n"/>
      <c r="F56" s="12" t="n"/>
      <c r="G56" s="22" t="n"/>
      <c r="H56" s="21" t="n"/>
    </row>
    <row r="57">
      <c r="A57" s="20" t="n">
        <v>13</v>
      </c>
      <c r="B57" s="18">
        <f>IF('Plan de 90 días'!$C$4="","",'Plan de 90 días'!$C$4+84)</f>
        <v/>
      </c>
      <c r="C57" s="21" t="n"/>
      <c r="D57" s="21" t="n"/>
      <c r="E57" s="21" t="n"/>
      <c r="F57" s="12" t="n"/>
      <c r="G57" s="22" t="n"/>
      <c r="H57" s="21" t="n"/>
    </row>
  </sheetData>
  <conditionalFormatting sqref="F6:F57">
    <cfRule type="expression" priority="1" dxfId="1">
      <formula>AND(F6&lt;&gt;"",F6&lt;TODAY(),G6&lt;&gt;"Sí")</formula>
    </cfRule>
  </conditionalFormatting>
  <dataValidations count="1">
    <dataValidation sqref="G6:G57" showDropDown="0" showInputMessage="0" showErrorMessage="1" allowBlank="1" errorTitle="Valor no válido" error="Elige una opción de la lista." type="list">
      <formula1>"Sí,No"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CAPÍTULO 17 · MATERIAL PRÁCTICO</t>
        </is>
      </c>
      <c r="B1" s="2" t="n"/>
      <c r="C1" s="2" t="n"/>
      <c r="D1" s="2" t="n"/>
      <c r="E1" s="2" t="n"/>
    </row>
    <row r="2" ht="24" customHeight="1">
      <c r="A2" s="3" t="inlineStr">
        <is>
          <t>Quince pasos que no puedes saltarte</t>
        </is>
      </c>
    </row>
    <row r="3">
      <c r="A3" s="4" t="inlineStr">
        <is>
          <t>Marca cada paso en cada flujo que automatices</t>
        </is>
      </c>
    </row>
    <row r="5" ht="30" customHeight="1">
      <c r="A5" s="14" t="inlineStr">
        <is>
          <t>N.º</t>
        </is>
      </c>
      <c r="B5" s="14" t="inlineStr">
        <is>
          <t>Paso</t>
        </is>
      </c>
      <c r="C5" s="14" t="inlineStr">
        <is>
          <t>Flujo 1</t>
        </is>
      </c>
      <c r="D5" s="14" t="inlineStr">
        <is>
          <t>Flujo 2</t>
        </is>
      </c>
      <c r="E5" s="14" t="inlineStr">
        <is>
          <t>Flujo 3</t>
        </is>
      </c>
    </row>
    <row r="6">
      <c r="B6" s="10" t="inlineStr">
        <is>
          <t>Nombre del flujo</t>
        </is>
      </c>
      <c r="C6" s="25" t="n"/>
      <c r="D6" s="25" t="n"/>
      <c r="E6" s="25" t="n"/>
    </row>
    <row r="7">
      <c r="A7" s="20" t="n">
        <v>1</v>
      </c>
      <c r="B7" s="19" t="inlineStr">
        <is>
          <t>Define el objetivo específico del flujo.</t>
        </is>
      </c>
      <c r="C7" s="22" t="n"/>
      <c r="D7" s="22" t="n"/>
      <c r="E7" s="22" t="n"/>
    </row>
    <row r="8">
      <c r="A8" s="20" t="n">
        <v>2</v>
      </c>
      <c r="B8" s="19" t="inlineStr">
        <is>
          <t>Identifica el proceso que vas a automatizar y sus pasos actuales.</t>
        </is>
      </c>
      <c r="C8" s="22" t="n"/>
      <c r="D8" s="22" t="n"/>
      <c r="E8" s="22" t="n"/>
    </row>
    <row r="9">
      <c r="A9" s="20" t="n">
        <v>3</v>
      </c>
      <c r="B9" s="19" t="inlineStr">
        <is>
          <t>Elige la herramienta o comprueba que la que tienes lo permite.</t>
        </is>
      </c>
      <c r="C9" s="22" t="n"/>
      <c r="D9" s="22" t="n"/>
      <c r="E9" s="22" t="n"/>
    </row>
    <row r="10">
      <c r="A10" s="20" t="n">
        <v>4</v>
      </c>
      <c r="B10" s="19" t="inlineStr">
        <is>
          <t>Analiza los datos y define a qué segmento se dirige.</t>
        </is>
      </c>
      <c r="C10" s="22" t="n"/>
      <c r="D10" s="22" t="n"/>
      <c r="E10" s="22" t="n"/>
    </row>
    <row r="11">
      <c r="A11" s="20" t="n">
        <v>5</v>
      </c>
      <c r="B11" s="19" t="inlineStr">
        <is>
          <t>Diseña el flujo: pasos, disparadores, mensajes y puntos de decisión.</t>
        </is>
      </c>
      <c r="C11" s="22" t="n"/>
      <c r="D11" s="22" t="n"/>
      <c r="E11" s="22" t="n"/>
    </row>
    <row r="12">
      <c r="A12" s="20" t="n">
        <v>6</v>
      </c>
      <c r="B12" s="19" t="inlineStr">
        <is>
          <t>Crea el contenido: correos, mensajes y textos.</t>
        </is>
      </c>
      <c r="C12" s="22" t="n"/>
      <c r="D12" s="22" t="n"/>
      <c r="E12" s="22" t="n"/>
    </row>
    <row r="13">
      <c r="A13" s="20" t="n">
        <v>7</v>
      </c>
      <c r="B13" s="19" t="inlineStr">
        <is>
          <t>Forma a las personas que intervienen.</t>
        </is>
      </c>
      <c r="C13" s="22" t="n"/>
      <c r="D13" s="22" t="n"/>
      <c r="E13" s="22" t="n"/>
    </row>
    <row r="14">
      <c r="A14" s="20" t="n">
        <v>8</v>
      </c>
      <c r="B14" s="19" t="inlineStr">
        <is>
          <t>Configura la automatización.</t>
        </is>
      </c>
      <c r="C14" s="22" t="n"/>
      <c r="D14" s="22" t="n"/>
      <c r="E14" s="22" t="n"/>
    </row>
    <row r="15">
      <c r="A15" s="20" t="n">
        <v>9</v>
      </c>
      <c r="B15" s="19" t="inlineStr">
        <is>
          <t>Pruébalo tú mismo como si fueras el cliente.</t>
        </is>
      </c>
      <c r="C15" s="22" t="n"/>
      <c r="D15" s="22" t="n"/>
      <c r="E15" s="22" t="n"/>
    </row>
    <row r="16">
      <c r="A16" s="20" t="n">
        <v>10</v>
      </c>
      <c r="B16" s="19" t="inlineStr">
        <is>
          <t>Ponlo en marcha con un grupo pequeño antes de abrirlo a todos.</t>
        </is>
      </c>
      <c r="C16" s="22" t="n"/>
      <c r="D16" s="22" t="n"/>
      <c r="E16" s="22" t="n"/>
    </row>
    <row r="17">
      <c r="A17" s="20" t="n">
        <v>11</v>
      </c>
      <c r="B17" s="19" t="inlineStr">
        <is>
          <t>Mide desde el primer día.</t>
        </is>
      </c>
      <c r="C17" s="22" t="n"/>
      <c r="D17" s="22" t="n"/>
      <c r="E17" s="22" t="n"/>
    </row>
    <row r="18">
      <c r="A18" s="20" t="n">
        <v>12</v>
      </c>
      <c r="B18" s="19" t="inlineStr">
        <is>
          <t>Analiza los resultados frente al objetivo.</t>
        </is>
      </c>
      <c r="C18" s="22" t="n"/>
      <c r="D18" s="22" t="n"/>
      <c r="E18" s="22" t="n"/>
    </row>
    <row r="19">
      <c r="A19" s="20" t="n">
        <v>13</v>
      </c>
      <c r="B19" s="19" t="inlineStr">
        <is>
          <t>Optimiza lo que no funcione.</t>
        </is>
      </c>
      <c r="C19" s="22" t="n"/>
      <c r="D19" s="22" t="n"/>
      <c r="E19" s="22" t="n"/>
    </row>
    <row r="20">
      <c r="A20" s="20" t="n">
        <v>14</v>
      </c>
      <c r="B20" s="19" t="inlineStr">
        <is>
          <t>Pide opinión al equipo y a algunos clientes.</t>
        </is>
      </c>
      <c r="C20" s="22" t="n"/>
      <c r="D20" s="22" t="n"/>
      <c r="E20" s="22" t="n"/>
    </row>
    <row r="21">
      <c r="A21" s="20" t="n">
        <v>15</v>
      </c>
      <c r="B21" s="19" t="inlineStr">
        <is>
          <t>Ajusta la estrategia si cambian las necesidades.</t>
        </is>
      </c>
      <c r="C21" s="22" t="n"/>
      <c r="D21" s="22" t="n"/>
      <c r="E21" s="22" t="n"/>
    </row>
    <row r="22">
      <c r="B22" s="26" t="inlineStr">
        <is>
          <t>Pasos completados</t>
        </is>
      </c>
      <c r="C22" s="27">
        <f>COUNTIF(C7:C21,"Hecho")&amp;" de 15"</f>
        <v/>
      </c>
      <c r="D22" s="27">
        <f>COUNTIF(D7:D21,"Hecho")&amp;" de 15"</f>
        <v/>
      </c>
      <c r="E22" s="27">
        <f>COUNTIF(E7:E21,"Hecho")&amp;" de 15"</f>
        <v/>
      </c>
    </row>
  </sheetData>
  <dataValidations count="1">
    <dataValidation sqref="C7:E21" showDropDown="0" showInputMessage="0" showErrorMessage="1" allowBlank="1" errorTitle="Valor no válido" error="Elige una opción de la lista." type="list">
      <formula1>"Hecho,En curso,Pendiente"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2026-10-22T19:24:55Z</dcterms:created>
  <dcterms:modified xmlns:dcterms="http://purl.org/dc/terms/" xmlns:xsi="http://www.w3.org/2001/XMLSchema-instance" xsi:type="dcterms:W3CDTF">2026-10-22T19:24:55Z</dcterms:modified>
</cp:coreProperties>
</file>